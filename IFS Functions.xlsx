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28E8DA0E-65C7-4BDE-8ABD-CE971EF927C6}" xr6:coauthVersionLast="47" xr6:coauthVersionMax="47" xr10:uidLastSave="{00000000-0000-0000-0000-000000000000}"/>
  <bookViews>
    <workbookView xWindow="-110" yWindow="-110" windowWidth="19420" windowHeight="11020" xr2:uid="{7F0EFD1D-25ED-4FB0-BBDC-4DF1F93FA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" l="1"/>
  <c r="O8" i="1"/>
  <c r="J18" i="1"/>
  <c r="J17" i="1"/>
  <c r="D27" i="1"/>
  <c r="D26" i="1"/>
  <c r="J15" i="1"/>
  <c r="J14" i="1"/>
  <c r="J13" i="1"/>
  <c r="J12" i="1"/>
  <c r="J11" i="1"/>
  <c r="J10" i="1"/>
  <c r="C23" i="1"/>
  <c r="J9" i="1"/>
  <c r="J8" i="1"/>
  <c r="J7" i="1"/>
  <c r="J6" i="1"/>
  <c r="J5" i="1"/>
  <c r="J4" i="1"/>
  <c r="J3" i="1"/>
  <c r="H2" i="1"/>
</calcChain>
</file>

<file path=xl/sharedStrings.xml><?xml version="1.0" encoding="utf-8"?>
<sst xmlns="http://schemas.openxmlformats.org/spreadsheetml/2006/main" count="136" uniqueCount="90">
  <si>
    <t>Emp Code</t>
  </si>
  <si>
    <t>Employee Name</t>
  </si>
  <si>
    <t>Address</t>
  </si>
  <si>
    <t>City</t>
  </si>
  <si>
    <t>Region</t>
  </si>
  <si>
    <t>Department</t>
  </si>
  <si>
    <t>Basic</t>
  </si>
  <si>
    <t>RANK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</si>
  <si>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</si>
  <si>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</si>
  <si>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</si>
  <si>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</si>
  <si>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</si>
  <si>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</si>
  <si>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</si>
  <si>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</si>
  <si>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</si>
  <si>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</si>
  <si>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SUM</t>
  </si>
  <si>
    <t>Priya Agarwal</t>
  </si>
  <si>
    <t>Sector 9</t>
  </si>
  <si>
    <t>Marketing</t>
  </si>
  <si>
    <t>AVERAGE</t>
  </si>
  <si>
    <t>R Vasu</t>
  </si>
  <si>
    <t>Egmore</t>
  </si>
  <si>
    <t>Chennai</t>
  </si>
  <si>
    <t>S</t>
  </si>
  <si>
    <t>R&amp;D</t>
  </si>
  <si>
    <t>MAX</t>
  </si>
  <si>
    <t>Sanjay Gupta</t>
  </si>
  <si>
    <t>MIN</t>
  </si>
  <si>
    <t>Jharna Biswal</t>
  </si>
  <si>
    <t>Link Road</t>
  </si>
  <si>
    <t>Cuttack</t>
  </si>
  <si>
    <t>E</t>
  </si>
  <si>
    <t>COUNT</t>
  </si>
  <si>
    <t>Prakash Dutta</t>
  </si>
  <si>
    <t>Elgin Road</t>
  </si>
  <si>
    <t>Kolkata</t>
  </si>
  <si>
    <t>COUNTA</t>
  </si>
  <si>
    <t>Q-1 Total Salary of Training Department Employees form W Region</t>
  </si>
  <si>
    <t>Manisha Guha</t>
  </si>
  <si>
    <t>Alipore</t>
  </si>
  <si>
    <t>COUNtBLANK</t>
  </si>
  <si>
    <t>Q-2 Average Salary of Training Department Employees form W Region</t>
  </si>
  <si>
    <t>Arjun Jain</t>
  </si>
  <si>
    <t>MG Road</t>
  </si>
  <si>
    <t>COUNTIF</t>
  </si>
  <si>
    <t>Q-3 Total Number of Employees from  Training Department and form W Region</t>
  </si>
  <si>
    <t>Arjun Kapoor</t>
  </si>
  <si>
    <t>Bangalore</t>
  </si>
  <si>
    <t>Abrar</t>
  </si>
  <si>
    <t>Jayanagar</t>
  </si>
  <si>
    <t>Shahid Khan</t>
  </si>
  <si>
    <t>M.G Road</t>
  </si>
  <si>
    <t>Mangalore</t>
  </si>
  <si>
    <t>SUMIF</t>
  </si>
  <si>
    <t>Anupam Mishra</t>
  </si>
  <si>
    <t>Mysore</t>
  </si>
  <si>
    <t>AVERAGEIF</t>
  </si>
  <si>
    <t>Ashwini</t>
  </si>
  <si>
    <t>SUMIFS</t>
  </si>
  <si>
    <t>Prateek Babbar</t>
  </si>
  <si>
    <t>North Road</t>
  </si>
  <si>
    <t>LARGE</t>
  </si>
  <si>
    <t>AVERAGEIFS</t>
  </si>
  <si>
    <t>Sukanya Reddy</t>
  </si>
  <si>
    <t>SMALL</t>
  </si>
  <si>
    <t>COUNTIFS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</si>
  <si>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</si>
  <si>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</si>
  <si>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</si>
  <si>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</si>
  <si>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</si>
  <si>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</si>
  <si>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</si>
  <si>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</si>
  <si>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</si>
  <si>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</si>
  <si>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Noida</t>
  </si>
  <si>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 will be perform only the numerical value.</t>
    </r>
  </si>
  <si>
    <r>
      <rPr>
        <b/>
        <sz val="11"/>
        <color theme="1"/>
        <rFont val="Calibri"/>
        <family val="2"/>
        <scheme val="minor"/>
      </rPr>
      <t>counta</t>
    </r>
    <r>
      <rPr>
        <sz val="11"/>
        <color theme="1"/>
        <rFont val="Calibri"/>
        <family val="2"/>
        <scheme val="minor"/>
      </rPr>
      <t xml:space="preserve"> will be performed on the characters.</t>
    </r>
  </si>
  <si>
    <r>
      <rPr>
        <b/>
        <sz val="11"/>
        <color theme="1"/>
        <rFont val="Calibri"/>
        <family val="2"/>
        <scheme val="minor"/>
      </rPr>
      <t>countblank</t>
    </r>
    <r>
      <rPr>
        <sz val="11"/>
        <color theme="1"/>
        <rFont val="Calibri"/>
        <family val="2"/>
        <scheme val="minor"/>
      </rPr>
      <t xml:space="preserve"> will perform, how many empty cells are there.</t>
    </r>
  </si>
  <si>
    <t>account</t>
  </si>
  <si>
    <t>more than 10,000</t>
  </si>
  <si>
    <r>
      <rPr>
        <b/>
        <sz val="11"/>
        <color theme="1"/>
        <rFont val="Calibri"/>
        <family val="2"/>
        <scheme val="minor"/>
      </rPr>
      <t>countif</t>
    </r>
    <r>
      <rPr>
        <sz val="11"/>
        <color theme="1"/>
        <rFont val="Calibri"/>
        <family val="2"/>
        <scheme val="minor"/>
      </rPr>
      <t xml:space="preserve"> will count only if the condition is satisified.</t>
    </r>
  </si>
  <si>
    <t>region "N" and sum</t>
  </si>
  <si>
    <t>department R&amp;D, avg basic</t>
  </si>
  <si>
    <t>3rd smallest basic, with unique</t>
  </si>
  <si>
    <t>4th largest basic, with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</si>
</sst>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DB34-DE4D-4893-93FF-ACFDEDA70676}">
  <dimension ref="A1:O32"/>
  <sheetViews>
    <sheetView tabSelected="1" topLeftCell="C1" zoomScale="78" workbookViewId="0">
      <selection activeCell="O10" sqref="O10"/>
    </sheetView>
  </sheetViews>
  <sheetFormatPr defaultRowHeight="14.5" x14ac:dyDescent="0.35"/>
  <cols>
    <col min="1" max="1" width="9.54296875" bestFit="1" customWidth="1"/>
    <col min="2" max="2" width="14.81640625" bestFit="1" customWidth="1"/>
    <col min="3" max="3" width="15.81640625" customWidth="1"/>
    <col min="4" max="4" width="9.81640625" bestFit="1" customWidth="1"/>
    <col min="5" max="5" width="6.81640625" bestFit="1" customWidth="1"/>
    <col min="6" max="6" width="11.08984375" bestFit="1" customWidth="1"/>
    <col min="7" max="7" width="10.81640625" bestFit="1" customWidth="1"/>
    <col min="8" max="8" width="11" customWidth="1"/>
    <col min="9" max="9" width="12.1796875" bestFit="1" customWidth="1"/>
    <col min="10" max="10" width="13.08984375" customWidth="1"/>
    <col min="11" max="11" width="26.7265625" bestFit="1" customWidth="1"/>
    <col min="12" max="12" width="49.54296875" bestFit="1" customWidth="1"/>
    <col min="13" max="13" width="13.08984375" customWidth="1"/>
    <col min="14" max="14" width="69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15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3">
        <v>10000</v>
      </c>
      <c r="H2">
        <f>RANK(G2,G2:G21)</f>
        <v>8</v>
      </c>
    </row>
    <row r="3" spans="1:15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12000</v>
      </c>
      <c r="I3" t="s">
        <v>18</v>
      </c>
      <c r="J3" s="3">
        <f>SUM(G2:G21)</f>
        <v>184600</v>
      </c>
      <c r="K3" s="3"/>
      <c r="L3" s="3"/>
      <c r="M3" s="3"/>
    </row>
    <row r="4" spans="1:15" x14ac:dyDescent="0.35">
      <c r="A4">
        <v>3</v>
      </c>
      <c r="B4" t="s">
        <v>19</v>
      </c>
      <c r="C4" t="s">
        <v>20</v>
      </c>
      <c r="E4" t="s">
        <v>16</v>
      </c>
      <c r="F4" t="s">
        <v>21</v>
      </c>
      <c r="G4" s="3">
        <v>11250</v>
      </c>
      <c r="I4" t="s">
        <v>22</v>
      </c>
      <c r="J4" s="3">
        <f>AVERAGE(G2:G21)</f>
        <v>9230</v>
      </c>
      <c r="K4" s="3"/>
      <c r="L4" s="3"/>
      <c r="M4" s="3"/>
    </row>
    <row r="5" spans="1:15" x14ac:dyDescent="0.3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s="3">
        <v>12000</v>
      </c>
      <c r="I5" t="s">
        <v>28</v>
      </c>
      <c r="J5" s="3">
        <f>MAX(G2:G21)</f>
        <v>16250</v>
      </c>
      <c r="K5" s="3"/>
      <c r="L5" s="3"/>
      <c r="M5" s="3"/>
    </row>
    <row r="6" spans="1:15" x14ac:dyDescent="0.35">
      <c r="A6">
        <v>5</v>
      </c>
      <c r="B6" t="s">
        <v>29</v>
      </c>
      <c r="D6" t="s">
        <v>15</v>
      </c>
      <c r="E6" t="s">
        <v>16</v>
      </c>
      <c r="F6" t="s">
        <v>12</v>
      </c>
      <c r="G6" s="3">
        <v>16250</v>
      </c>
      <c r="I6" t="s">
        <v>30</v>
      </c>
      <c r="J6" s="3">
        <f>MIN(G2:G21)</f>
        <v>4500</v>
      </c>
      <c r="K6" s="3"/>
      <c r="L6" s="3"/>
      <c r="M6" s="3"/>
    </row>
    <row r="7" spans="1:15" x14ac:dyDescent="0.3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17</v>
      </c>
      <c r="G7" s="3">
        <v>6400</v>
      </c>
      <c r="I7" t="s">
        <v>35</v>
      </c>
      <c r="J7">
        <f>COUNT(F2:F21)</f>
        <v>0</v>
      </c>
      <c r="L7" t="s">
        <v>80</v>
      </c>
    </row>
    <row r="8" spans="1:15" x14ac:dyDescent="0.35">
      <c r="A8">
        <v>7</v>
      </c>
      <c r="B8" t="s">
        <v>36</v>
      </c>
      <c r="C8" t="s">
        <v>37</v>
      </c>
      <c r="D8" t="s">
        <v>38</v>
      </c>
      <c r="E8" t="s">
        <v>34</v>
      </c>
      <c r="F8" t="s">
        <v>21</v>
      </c>
      <c r="G8" s="3">
        <v>4500</v>
      </c>
      <c r="I8" t="s">
        <v>39</v>
      </c>
      <c r="J8">
        <f>COUNTA(F2:F21)</f>
        <v>20</v>
      </c>
      <c r="L8" t="s">
        <v>81</v>
      </c>
      <c r="N8" t="s">
        <v>40</v>
      </c>
      <c r="O8">
        <f>SUMIFS(G2:G21,F2:F21,F2,E2:E21,E19)</f>
        <v>16250</v>
      </c>
    </row>
    <row r="9" spans="1:15" x14ac:dyDescent="0.35">
      <c r="A9">
        <v>8</v>
      </c>
      <c r="B9" t="s">
        <v>41</v>
      </c>
      <c r="C9" t="s">
        <v>42</v>
      </c>
      <c r="D9" t="s">
        <v>38</v>
      </c>
      <c r="E9" t="s">
        <v>34</v>
      </c>
      <c r="F9" t="s">
        <v>27</v>
      </c>
      <c r="G9" s="3">
        <v>6275</v>
      </c>
      <c r="I9" t="s">
        <v>43</v>
      </c>
      <c r="J9">
        <f>COUNTBLANK(C2:C21)</f>
        <v>3</v>
      </c>
      <c r="L9" t="s">
        <v>82</v>
      </c>
      <c r="N9" t="s">
        <v>44</v>
      </c>
      <c r="O9">
        <f>AVERAGEIFS(G2:G21,F2:F21,F21,E2:E21,E10)</f>
        <v>8125</v>
      </c>
    </row>
    <row r="10" spans="1:15" x14ac:dyDescent="0.35">
      <c r="A10">
        <v>9</v>
      </c>
      <c r="B10" t="s">
        <v>45</v>
      </c>
      <c r="C10" t="s">
        <v>46</v>
      </c>
      <c r="D10" t="s">
        <v>10</v>
      </c>
      <c r="E10" t="s">
        <v>11</v>
      </c>
      <c r="F10" t="s">
        <v>12</v>
      </c>
      <c r="G10" s="3">
        <v>6250</v>
      </c>
      <c r="I10" t="s">
        <v>47</v>
      </c>
      <c r="J10">
        <f>COUNTIF(F2:F21,F3)</f>
        <v>4</v>
      </c>
      <c r="K10" t="s">
        <v>83</v>
      </c>
      <c r="L10" t="s">
        <v>85</v>
      </c>
      <c r="N10" t="s">
        <v>48</v>
      </c>
    </row>
    <row r="11" spans="1:15" x14ac:dyDescent="0.35">
      <c r="A11">
        <v>10</v>
      </c>
      <c r="B11" t="s">
        <v>49</v>
      </c>
      <c r="D11" t="s">
        <v>50</v>
      </c>
      <c r="E11" t="s">
        <v>26</v>
      </c>
      <c r="F11" t="s">
        <v>17</v>
      </c>
      <c r="G11" s="3">
        <v>8750</v>
      </c>
      <c r="I11" t="s">
        <v>47</v>
      </c>
      <c r="J11">
        <f>COUNTIF(G2:G21,G2)</f>
        <v>3</v>
      </c>
      <c r="K11" s="4">
        <v>10000</v>
      </c>
    </row>
    <row r="12" spans="1:15" x14ac:dyDescent="0.35">
      <c r="A12">
        <v>11</v>
      </c>
      <c r="B12" t="s">
        <v>51</v>
      </c>
      <c r="C12" t="s">
        <v>52</v>
      </c>
      <c r="D12" t="s">
        <v>50</v>
      </c>
      <c r="E12" t="s">
        <v>26</v>
      </c>
      <c r="F12" t="s">
        <v>21</v>
      </c>
      <c r="G12" s="3">
        <v>11250</v>
      </c>
      <c r="I12" t="s">
        <v>47</v>
      </c>
      <c r="J12">
        <f>COUNTIF(G2:G21,"&gt;10000")</f>
        <v>7</v>
      </c>
      <c r="K12" t="s">
        <v>84</v>
      </c>
    </row>
    <row r="13" spans="1:15" x14ac:dyDescent="0.35">
      <c r="A13">
        <v>12</v>
      </c>
      <c r="B13" t="s">
        <v>53</v>
      </c>
      <c r="C13" t="s">
        <v>54</v>
      </c>
      <c r="D13" t="s">
        <v>55</v>
      </c>
      <c r="E13" t="s">
        <v>26</v>
      </c>
      <c r="F13" t="s">
        <v>27</v>
      </c>
      <c r="G13" s="3">
        <v>10000</v>
      </c>
      <c r="I13" t="s">
        <v>56</v>
      </c>
      <c r="J13">
        <f>SUMIF(E2:E21,E3,G2:G21)</f>
        <v>54000</v>
      </c>
      <c r="K13" t="s">
        <v>86</v>
      </c>
    </row>
    <row r="14" spans="1:15" x14ac:dyDescent="0.35">
      <c r="A14">
        <v>13</v>
      </c>
      <c r="B14" t="s">
        <v>57</v>
      </c>
      <c r="C14" t="s">
        <v>14</v>
      </c>
      <c r="D14" t="s">
        <v>58</v>
      </c>
      <c r="E14" t="s">
        <v>26</v>
      </c>
      <c r="F14" t="s">
        <v>12</v>
      </c>
      <c r="G14" s="3">
        <v>16250</v>
      </c>
      <c r="I14" t="s">
        <v>59</v>
      </c>
      <c r="J14">
        <f>AVERAGEIF(F2:F21,F13,G2:G21)</f>
        <v>8660</v>
      </c>
      <c r="K14" t="s">
        <v>87</v>
      </c>
    </row>
    <row r="15" spans="1:15" x14ac:dyDescent="0.35">
      <c r="A15">
        <v>14</v>
      </c>
      <c r="B15" t="s">
        <v>60</v>
      </c>
      <c r="C15" t="s">
        <v>20</v>
      </c>
      <c r="D15" t="s">
        <v>55</v>
      </c>
      <c r="E15" t="s">
        <v>26</v>
      </c>
      <c r="F15" t="s">
        <v>17</v>
      </c>
      <c r="G15" s="3">
        <v>6400</v>
      </c>
      <c r="I15" t="s">
        <v>56</v>
      </c>
      <c r="J15">
        <f>SUMIF(G2:G21,"&lt;10000")</f>
        <v>64350</v>
      </c>
      <c r="N15" t="s">
        <v>61</v>
      </c>
    </row>
    <row r="16" spans="1:15" x14ac:dyDescent="0.35">
      <c r="A16">
        <v>15</v>
      </c>
      <c r="B16" t="s">
        <v>62</v>
      </c>
      <c r="C16" t="s">
        <v>63</v>
      </c>
      <c r="D16" t="s">
        <v>15</v>
      </c>
      <c r="E16" t="s">
        <v>16</v>
      </c>
      <c r="F16" t="s">
        <v>21</v>
      </c>
      <c r="G16" s="3">
        <v>4500</v>
      </c>
      <c r="I16" t="s">
        <v>47</v>
      </c>
      <c r="N16" t="s">
        <v>65</v>
      </c>
    </row>
    <row r="17" spans="1:14" x14ac:dyDescent="0.35">
      <c r="A17">
        <v>16</v>
      </c>
      <c r="B17" t="s">
        <v>66</v>
      </c>
      <c r="D17" t="s">
        <v>55</v>
      </c>
      <c r="E17" t="s">
        <v>26</v>
      </c>
      <c r="F17" t="s">
        <v>27</v>
      </c>
      <c r="G17" s="3">
        <v>6275</v>
      </c>
      <c r="I17" t="s">
        <v>64</v>
      </c>
      <c r="J17">
        <f>LARGE(_xlfn.UNIQUE(G2:G21),4)</f>
        <v>10000</v>
      </c>
      <c r="K17" t="s">
        <v>89</v>
      </c>
      <c r="N17" t="s">
        <v>68</v>
      </c>
    </row>
    <row r="18" spans="1:14" x14ac:dyDescent="0.35">
      <c r="A18">
        <v>17</v>
      </c>
      <c r="B18" t="s">
        <v>69</v>
      </c>
      <c r="C18" t="s">
        <v>70</v>
      </c>
      <c r="D18" t="s">
        <v>10</v>
      </c>
      <c r="E18" t="s">
        <v>11</v>
      </c>
      <c r="F18" t="s">
        <v>71</v>
      </c>
      <c r="G18" s="3">
        <v>6250</v>
      </c>
      <c r="I18" t="s">
        <v>67</v>
      </c>
      <c r="J18">
        <f>SMALL(_xlfn.UNIQUE(G2:G21),3)</f>
        <v>6275</v>
      </c>
      <c r="K18" t="s">
        <v>88</v>
      </c>
    </row>
    <row r="19" spans="1:14" x14ac:dyDescent="0.35">
      <c r="A19">
        <v>18</v>
      </c>
      <c r="B19" t="s">
        <v>72</v>
      </c>
      <c r="C19" t="s">
        <v>73</v>
      </c>
      <c r="D19" t="s">
        <v>10</v>
      </c>
      <c r="E19" t="s">
        <v>11</v>
      </c>
      <c r="F19" t="s">
        <v>27</v>
      </c>
      <c r="G19" s="3">
        <v>8750</v>
      </c>
    </row>
    <row r="20" spans="1:14" x14ac:dyDescent="0.35">
      <c r="A20">
        <v>19</v>
      </c>
      <c r="B20" t="s">
        <v>74</v>
      </c>
      <c r="C20" t="s">
        <v>75</v>
      </c>
      <c r="D20" t="s">
        <v>76</v>
      </c>
      <c r="E20" t="s">
        <v>11</v>
      </c>
      <c r="F20" t="s">
        <v>71</v>
      </c>
      <c r="G20" s="3">
        <v>11250</v>
      </c>
    </row>
    <row r="21" spans="1:14" x14ac:dyDescent="0.35">
      <c r="A21">
        <v>20</v>
      </c>
      <c r="B21" t="s">
        <v>77</v>
      </c>
      <c r="C21" t="s">
        <v>78</v>
      </c>
      <c r="D21" t="s">
        <v>79</v>
      </c>
      <c r="E21" t="s">
        <v>16</v>
      </c>
      <c r="F21" t="s">
        <v>12</v>
      </c>
      <c r="G21" s="3">
        <v>10000</v>
      </c>
    </row>
    <row r="23" spans="1:14" x14ac:dyDescent="0.35">
      <c r="C23">
        <f>(COUNTBLANK(C2:C21)/COUNTA(C2:C21))*100</f>
        <v>17.647058823529413</v>
      </c>
    </row>
    <row r="26" spans="1:14" x14ac:dyDescent="0.35">
      <c r="B26">
        <v>3</v>
      </c>
      <c r="D26">
        <f>LARGE(B26:B32,3)</f>
        <v>6</v>
      </c>
    </row>
    <row r="27" spans="1:14" x14ac:dyDescent="0.35">
      <c r="B27">
        <v>6</v>
      </c>
      <c r="D27">
        <f>LARGE(_xlfn.UNIQUE(B26:B32),3)</f>
        <v>5</v>
      </c>
    </row>
    <row r="28" spans="1:14" x14ac:dyDescent="0.35">
      <c r="B28">
        <v>2</v>
      </c>
    </row>
    <row r="29" spans="1:14" x14ac:dyDescent="0.35">
      <c r="B29">
        <v>5</v>
      </c>
    </row>
    <row r="30" spans="1:14" x14ac:dyDescent="0.35">
      <c r="B30">
        <v>6</v>
      </c>
    </row>
    <row r="31" spans="1:14" x14ac:dyDescent="0.35">
      <c r="B31">
        <v>7</v>
      </c>
    </row>
    <row r="32" spans="1:14" x14ac:dyDescent="0.35">
      <c r="B32">
        <v>1</v>
      </c>
    </row>
  </sheetData>
  <dataValidations count="3">
    <dataValidation type="custom" allowBlank="1" showInputMessage="1" showErrorMessage="1" sqref="B1:B21" xr:uid="{B5CA181F-03FA-4372-A9AF-C6E7BF0CBA8C}">
      <formula1>ISTEXT(B1)</formula1>
    </dataValidation>
    <dataValidation type="custom" operator="greaterThanOrEqual" allowBlank="1" showInputMessage="1" showErrorMessage="1" sqref="G1" xr:uid="{30ABFEC4-5AB7-49A2-958B-C7479D009747}">
      <formula1>ISNUMBER(G2)</formula1>
    </dataValidation>
    <dataValidation type="custom" operator="greaterThanOrEqual" allowBlank="1" showInputMessage="1" showErrorMessage="1" sqref="G2:G21" xr:uid="{7FEF1343-18A1-46AC-B386-C4D3F0D878E1}">
      <formula1>ISNUMBER(G2)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2026-05-11T05:44:08Z</dcterms:created>
  <dcterms:modified xsi:type="dcterms:W3CDTF">2026-05-11T06:34:15Z</dcterms:modified>
</cp:coreProperties>
</file>