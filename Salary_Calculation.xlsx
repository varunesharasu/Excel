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8_{506228A4-4AD3-46EB-8C0D-42A49F4DBA8F}" xr6:coauthVersionLast="47" xr6:coauthVersionMax="47" xr10:uidLastSave="{00000000-0000-0000-0000-000000000000}"/>
  <bookViews>
    <workbookView xWindow="-110" yWindow="-110" windowWidth="19420" windowHeight="11020" xr2:uid="{7C07EA9C-7350-4ED6-A10A-AE57C94EE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J16" i="1"/>
  <c r="J12" i="1"/>
  <c r="J8" i="1"/>
  <c r="J4" i="1"/>
  <c r="J3" i="1"/>
  <c r="J5" i="1"/>
  <c r="J6" i="1"/>
  <c r="J7" i="1"/>
  <c r="J9" i="1"/>
  <c r="J10" i="1"/>
  <c r="J11" i="1"/>
  <c r="J13" i="1"/>
  <c r="J14" i="1"/>
  <c r="J15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<sst xmlns="http://schemas.openxmlformats.org/spreadsheetml/2006/main" count="115" uniqueCount="73">
  <si>
    <t>Emp Code</t>
  </si>
  <si>
    <t>Employee Name</t>
  </si>
  <si>
    <t>Address</t>
  </si>
  <si>
    <t>City</t>
  </si>
  <si>
    <t>Region</t>
  </si>
  <si>
    <t>Department</t>
  </si>
  <si>
    <t>Basic</t>
  </si>
  <si>
    <t>JP Kumar</t>
  </si>
  <si>
    <t>Andheri (W)</t>
  </si>
  <si>
    <t>Mumbai</t>
  </si>
  <si>
    <t>W</t>
  </si>
  <si>
    <t>Training</t>
  </si>
  <si>
    <t>Anjali Thakur</t>
  </si>
  <si>
    <t>Govindpuri</t>
  </si>
  <si>
    <t>Delhi</t>
  </si>
  <si>
    <t>N</t>
  </si>
  <si>
    <t>Accounts</t>
  </si>
  <si>
    <t>Priya Agarwal</t>
  </si>
  <si>
    <t>Sector 9</t>
  </si>
  <si>
    <t>Marketing</t>
  </si>
  <si>
    <t>R Vasu</t>
  </si>
  <si>
    <t>Egmore</t>
  </si>
  <si>
    <t>Chennai</t>
  </si>
  <si>
    <t>S</t>
  </si>
  <si>
    <t>R&amp;D</t>
  </si>
  <si>
    <t>Sanjay Gupta</t>
  </si>
  <si>
    <t>Jharna Biswal</t>
  </si>
  <si>
    <t>Link Road</t>
  </si>
  <si>
    <t>Cuttack</t>
  </si>
  <si>
    <t>E</t>
  </si>
  <si>
    <t>Prakash Dutta</t>
  </si>
  <si>
    <t>Elgin Road</t>
  </si>
  <si>
    <t>Kolkata</t>
  </si>
  <si>
    <t>Manisha Guha</t>
  </si>
  <si>
    <t>Alipore</t>
  </si>
  <si>
    <t>Arjun Jain</t>
  </si>
  <si>
    <t>MG Road</t>
  </si>
  <si>
    <t>Arjun Kapoor</t>
  </si>
  <si>
    <t>Bangalore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</si>
  <si>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</si>
  <si>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</si>
  <si>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</si>
  <si>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</si>
  <si>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</si>
  <si>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</si>
  <si>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</si>
  <si>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</si>
  <si>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</si>
  <si>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</si>
  <si>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</si>
  <si>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</si>
  <si>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</si>
  <si>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</si>
  <si>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</si>
  <si>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</si>
  <si>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</si>
  <si>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</si>
  <si>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</si>
  <si>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</si>
  <si>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</si>
  <si>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Noida</t>
  </si>
  <si>
    <t>DA of 8%</t>
  </si>
  <si>
    <t>HRA of 12% includes Basic + DA</t>
  </si>
  <si>
    <t>TA</t>
  </si>
  <si>
    <t>Bonus</t>
  </si>
  <si>
    <t>Incentive</t>
  </si>
  <si>
    <t>PF of 15%</t>
  </si>
  <si>
    <t>Professional Tax</t>
  </si>
  <si>
    <t>Net Salary</t>
  </si>
  <si>
    <t>Gross Salary</t>
  </si>
  <si>
    <t>Only for marketing dept people will get TA</t>
  </si>
  <si>
    <r>
      <t xml:space="preserve">for this use </t>
    </r>
    <r>
      <rPr>
        <b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</t>
    </r>
  </si>
  <si>
    <t>*=if(f2,$b$4,4000,0)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</si>
</sst>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;[Red]&quot;₹&quot;\ #,##0.00"/>
    <numFmt numFmtId="165" formatCode="&quot;₹&quot;#,##0.00;[Red]&quot;₹&quot;#,##0.00"/>
    <numFmt numFmtId="168" formatCode="&quot;₹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8D7C-B927-4C49-B642-925C296961BE}">
  <dimension ref="A1:P25"/>
  <sheetViews>
    <sheetView tabSelected="1" topLeftCell="H10" workbookViewId="0">
      <selection activeCell="M27" sqref="M27"/>
    </sheetView>
  </sheetViews>
  <sheetFormatPr defaultRowHeight="14.5" x14ac:dyDescent="0.35"/>
  <cols>
    <col min="1" max="1" width="9.26953125" bestFit="1" customWidth="1"/>
    <col min="2" max="2" width="14.453125" bestFit="1" customWidth="1"/>
    <col min="3" max="3" width="11" bestFit="1" customWidth="1"/>
    <col min="4" max="4" width="9.81640625" bestFit="1" customWidth="1"/>
    <col min="5" max="5" width="6.453125" bestFit="1" customWidth="1"/>
    <col min="6" max="6" width="11.08984375" bestFit="1" customWidth="1"/>
    <col min="7" max="7" width="10.26953125" bestFit="1" customWidth="1"/>
    <col min="8" max="8" width="11" customWidth="1"/>
    <col min="9" max="9" width="27.08984375" bestFit="1" customWidth="1"/>
    <col min="10" max="10" width="8.90625" customWidth="1"/>
    <col min="11" max="11" width="6" bestFit="1" customWidth="1"/>
    <col min="12" max="12" width="8.453125" bestFit="1" customWidth="1"/>
    <col min="13" max="13" width="8.90625" bestFit="1" customWidth="1"/>
    <col min="14" max="14" width="14.54296875" bestFit="1" customWidth="1"/>
    <col min="15" max="15" width="9.26953125" bestFit="1" customWidth="1"/>
    <col min="16" max="16" width="11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</row>
    <row r="2" spans="1:16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3">
        <v>10000</v>
      </c>
      <c r="H2" s="4">
        <f>G2*8%</f>
        <v>800</v>
      </c>
      <c r="I2" s="4">
        <f>(G2+H2)*12%</f>
        <v>1296</v>
      </c>
      <c r="J2" s="5">
        <f>IF(F2=$F$4,4000,0)</f>
        <v>0</v>
      </c>
    </row>
    <row r="3" spans="1:16" x14ac:dyDescent="0.3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s="3">
        <v>12000</v>
      </c>
      <c r="H3" s="4">
        <f t="shared" ref="H3:H21" si="0">G3*8%</f>
        <v>960</v>
      </c>
      <c r="I3" s="4">
        <f t="shared" ref="I3:I21" si="1">(G3+H3)*12%</f>
        <v>1555.2</v>
      </c>
      <c r="J3" s="5">
        <f t="shared" ref="J3:J21" si="2">IF(F3=$F$4,4000,0)</f>
        <v>0</v>
      </c>
    </row>
    <row r="4" spans="1:16" x14ac:dyDescent="0.35">
      <c r="A4">
        <v>3</v>
      </c>
      <c r="B4" t="s">
        <v>17</v>
      </c>
      <c r="C4" t="s">
        <v>18</v>
      </c>
      <c r="E4" t="s">
        <v>15</v>
      </c>
      <c r="F4" t="s">
        <v>19</v>
      </c>
      <c r="G4" s="3">
        <v>11250</v>
      </c>
      <c r="H4" s="4">
        <f t="shared" si="0"/>
        <v>900</v>
      </c>
      <c r="I4" s="4">
        <f t="shared" si="1"/>
        <v>1458</v>
      </c>
      <c r="J4" s="5">
        <f>IF(F4=$F$4,4000,0)</f>
        <v>4000</v>
      </c>
    </row>
    <row r="5" spans="1:16" x14ac:dyDescent="0.3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s="3">
        <v>12000</v>
      </c>
      <c r="H5" s="4">
        <f t="shared" si="0"/>
        <v>960</v>
      </c>
      <c r="I5" s="4">
        <f t="shared" si="1"/>
        <v>1555.2</v>
      </c>
      <c r="J5" s="5">
        <f t="shared" si="2"/>
        <v>0</v>
      </c>
    </row>
    <row r="6" spans="1:16" x14ac:dyDescent="0.35">
      <c r="A6">
        <v>5</v>
      </c>
      <c r="B6" t="s">
        <v>25</v>
      </c>
      <c r="D6" t="s">
        <v>14</v>
      </c>
      <c r="E6" t="s">
        <v>15</v>
      </c>
      <c r="F6" t="s">
        <v>11</v>
      </c>
      <c r="G6" s="3">
        <v>16250</v>
      </c>
      <c r="H6" s="4">
        <f t="shared" si="0"/>
        <v>1300</v>
      </c>
      <c r="I6" s="4">
        <f t="shared" si="1"/>
        <v>2106</v>
      </c>
      <c r="J6" s="5">
        <f t="shared" si="2"/>
        <v>0</v>
      </c>
    </row>
    <row r="7" spans="1:16" x14ac:dyDescent="0.35">
      <c r="A7">
        <v>6</v>
      </c>
      <c r="B7" t="s">
        <v>26</v>
      </c>
      <c r="C7" t="s">
        <v>27</v>
      </c>
      <c r="D7" t="s">
        <v>28</v>
      </c>
      <c r="E7" t="s">
        <v>29</v>
      </c>
      <c r="F7" t="s">
        <v>16</v>
      </c>
      <c r="G7" s="3">
        <v>6400</v>
      </c>
      <c r="H7" s="4">
        <f t="shared" si="0"/>
        <v>512</v>
      </c>
      <c r="I7" s="4">
        <f t="shared" si="1"/>
        <v>829.43999999999994</v>
      </c>
      <c r="J7" s="5">
        <f t="shared" si="2"/>
        <v>0</v>
      </c>
    </row>
    <row r="8" spans="1:16" x14ac:dyDescent="0.35">
      <c r="A8">
        <v>7</v>
      </c>
      <c r="B8" t="s">
        <v>30</v>
      </c>
      <c r="C8" t="s">
        <v>31</v>
      </c>
      <c r="D8" t="s">
        <v>32</v>
      </c>
      <c r="E8" t="s">
        <v>29</v>
      </c>
      <c r="F8" t="s">
        <v>19</v>
      </c>
      <c r="G8" s="3">
        <v>4500</v>
      </c>
      <c r="H8" s="4">
        <f t="shared" si="0"/>
        <v>360</v>
      </c>
      <c r="I8" s="4">
        <f t="shared" si="1"/>
        <v>583.19999999999993</v>
      </c>
      <c r="J8" s="5">
        <f>IF(F8=$F$4,4000,0)</f>
        <v>4000</v>
      </c>
    </row>
    <row r="9" spans="1:16" x14ac:dyDescent="0.35">
      <c r="A9">
        <v>8</v>
      </c>
      <c r="B9" t="s">
        <v>33</v>
      </c>
      <c r="C9" t="s">
        <v>34</v>
      </c>
      <c r="D9" t="s">
        <v>32</v>
      </c>
      <c r="E9" t="s">
        <v>29</v>
      </c>
      <c r="F9" t="s">
        <v>24</v>
      </c>
      <c r="G9" s="3">
        <v>6275</v>
      </c>
      <c r="H9" s="4">
        <f t="shared" si="0"/>
        <v>502</v>
      </c>
      <c r="I9" s="4">
        <f t="shared" si="1"/>
        <v>813.24</v>
      </c>
      <c r="J9" s="5">
        <f t="shared" si="2"/>
        <v>0</v>
      </c>
    </row>
    <row r="10" spans="1:16" x14ac:dyDescent="0.35">
      <c r="A10">
        <v>9</v>
      </c>
      <c r="B10" t="s">
        <v>35</v>
      </c>
      <c r="C10" t="s">
        <v>36</v>
      </c>
      <c r="D10" t="s">
        <v>9</v>
      </c>
      <c r="E10" t="s">
        <v>10</v>
      </c>
      <c r="F10" t="s">
        <v>11</v>
      </c>
      <c r="G10" s="3">
        <v>6250</v>
      </c>
      <c r="H10" s="4">
        <f t="shared" si="0"/>
        <v>500</v>
      </c>
      <c r="I10" s="4">
        <f t="shared" si="1"/>
        <v>810</v>
      </c>
      <c r="J10" s="5">
        <f t="shared" si="2"/>
        <v>0</v>
      </c>
    </row>
    <row r="11" spans="1:16" x14ac:dyDescent="0.35">
      <c r="A11">
        <v>10</v>
      </c>
      <c r="B11" t="s">
        <v>37</v>
      </c>
      <c r="D11" t="s">
        <v>38</v>
      </c>
      <c r="E11" t="s">
        <v>23</v>
      </c>
      <c r="F11" t="s">
        <v>16</v>
      </c>
      <c r="G11" s="3">
        <v>8750</v>
      </c>
      <c r="H11" s="4">
        <f t="shared" si="0"/>
        <v>700</v>
      </c>
      <c r="I11" s="4">
        <f t="shared" si="1"/>
        <v>1134</v>
      </c>
      <c r="J11" s="5">
        <f t="shared" si="2"/>
        <v>0</v>
      </c>
    </row>
    <row r="12" spans="1:16" x14ac:dyDescent="0.35">
      <c r="A12">
        <v>11</v>
      </c>
      <c r="B12" t="s">
        <v>39</v>
      </c>
      <c r="C12" t="s">
        <v>40</v>
      </c>
      <c r="D12" t="s">
        <v>38</v>
      </c>
      <c r="E12" t="s">
        <v>23</v>
      </c>
      <c r="F12" t="s">
        <v>19</v>
      </c>
      <c r="G12" s="3">
        <v>11250</v>
      </c>
      <c r="H12" s="4">
        <f t="shared" si="0"/>
        <v>900</v>
      </c>
      <c r="I12" s="4">
        <f t="shared" si="1"/>
        <v>1458</v>
      </c>
      <c r="J12" s="5">
        <f>IF(F12=$F$4,4000,0)</f>
        <v>4000</v>
      </c>
    </row>
    <row r="13" spans="1:16" x14ac:dyDescent="0.35">
      <c r="A13">
        <v>12</v>
      </c>
      <c r="B13" t="s">
        <v>41</v>
      </c>
      <c r="C13" t="s">
        <v>42</v>
      </c>
      <c r="D13" t="s">
        <v>43</v>
      </c>
      <c r="E13" t="s">
        <v>23</v>
      </c>
      <c r="F13" t="s">
        <v>24</v>
      </c>
      <c r="G13" s="3">
        <v>10000</v>
      </c>
      <c r="H13" s="4">
        <f t="shared" si="0"/>
        <v>800</v>
      </c>
      <c r="I13" s="4">
        <f t="shared" si="1"/>
        <v>1296</v>
      </c>
      <c r="J13" s="5">
        <f t="shared" si="2"/>
        <v>0</v>
      </c>
    </row>
    <row r="14" spans="1:16" x14ac:dyDescent="0.35">
      <c r="A14">
        <v>13</v>
      </c>
      <c r="B14" t="s">
        <v>44</v>
      </c>
      <c r="C14" t="s">
        <v>13</v>
      </c>
      <c r="D14" t="s">
        <v>45</v>
      </c>
      <c r="E14" t="s">
        <v>23</v>
      </c>
      <c r="F14" t="s">
        <v>11</v>
      </c>
      <c r="G14" s="3">
        <v>16250</v>
      </c>
      <c r="H14" s="4">
        <f>G14*8%</f>
        <v>1300</v>
      </c>
      <c r="I14" s="4">
        <f t="shared" si="1"/>
        <v>2106</v>
      </c>
      <c r="J14" s="5">
        <f t="shared" si="2"/>
        <v>0</v>
      </c>
    </row>
    <row r="15" spans="1:16" x14ac:dyDescent="0.35">
      <c r="A15">
        <v>14</v>
      </c>
      <c r="B15" t="s">
        <v>46</v>
      </c>
      <c r="C15" t="s">
        <v>18</v>
      </c>
      <c r="D15" t="s">
        <v>43</v>
      </c>
      <c r="E15" t="s">
        <v>23</v>
      </c>
      <c r="F15" t="s">
        <v>16</v>
      </c>
      <c r="G15" s="3">
        <v>6400</v>
      </c>
      <c r="H15" s="4">
        <f t="shared" si="0"/>
        <v>512</v>
      </c>
      <c r="I15" s="4">
        <f t="shared" si="1"/>
        <v>829.43999999999994</v>
      </c>
      <c r="J15" s="5">
        <f t="shared" si="2"/>
        <v>0</v>
      </c>
    </row>
    <row r="16" spans="1:16" x14ac:dyDescent="0.35">
      <c r="A16">
        <v>15</v>
      </c>
      <c r="B16" t="s">
        <v>47</v>
      </c>
      <c r="C16" t="s">
        <v>48</v>
      </c>
      <c r="D16" t="s">
        <v>14</v>
      </c>
      <c r="E16" t="s">
        <v>15</v>
      </c>
      <c r="F16" t="s">
        <v>19</v>
      </c>
      <c r="G16" s="3">
        <v>4500</v>
      </c>
      <c r="H16" s="4">
        <f t="shared" si="0"/>
        <v>360</v>
      </c>
      <c r="I16" s="4">
        <f t="shared" si="1"/>
        <v>583.19999999999993</v>
      </c>
      <c r="J16" s="5">
        <f>IF(F16=$F$4,4000,0)</f>
        <v>4000</v>
      </c>
    </row>
    <row r="17" spans="1:10" x14ac:dyDescent="0.35">
      <c r="A17">
        <v>16</v>
      </c>
      <c r="B17" t="s">
        <v>49</v>
      </c>
      <c r="D17" t="s">
        <v>43</v>
      </c>
      <c r="E17" t="s">
        <v>23</v>
      </c>
      <c r="F17" t="s">
        <v>24</v>
      </c>
      <c r="G17" s="3">
        <v>6275</v>
      </c>
      <c r="H17" s="4">
        <f t="shared" si="0"/>
        <v>502</v>
      </c>
      <c r="I17" s="4">
        <f t="shared" si="1"/>
        <v>813.24</v>
      </c>
      <c r="J17" s="5">
        <f t="shared" si="2"/>
        <v>0</v>
      </c>
    </row>
    <row r="18" spans="1:10" x14ac:dyDescent="0.35">
      <c r="A18">
        <v>17</v>
      </c>
      <c r="B18" t="s">
        <v>50</v>
      </c>
      <c r="C18" t="s">
        <v>51</v>
      </c>
      <c r="D18" t="s">
        <v>9</v>
      </c>
      <c r="E18" t="s">
        <v>10</v>
      </c>
      <c r="F18" t="s">
        <v>52</v>
      </c>
      <c r="G18" s="3">
        <v>6250</v>
      </c>
      <c r="H18" s="4">
        <f t="shared" si="0"/>
        <v>500</v>
      </c>
      <c r="I18" s="4">
        <f t="shared" si="1"/>
        <v>810</v>
      </c>
      <c r="J18" s="5">
        <f t="shared" si="2"/>
        <v>0</v>
      </c>
    </row>
    <row r="19" spans="1:10" x14ac:dyDescent="0.35">
      <c r="A19">
        <v>18</v>
      </c>
      <c r="B19" t="s">
        <v>53</v>
      </c>
      <c r="C19" t="s">
        <v>54</v>
      </c>
      <c r="D19" t="s">
        <v>9</v>
      </c>
      <c r="E19" t="s">
        <v>10</v>
      </c>
      <c r="F19" t="s">
        <v>24</v>
      </c>
      <c r="G19" s="3">
        <v>8750</v>
      </c>
      <c r="H19" s="4">
        <f t="shared" si="0"/>
        <v>700</v>
      </c>
      <c r="I19" s="4">
        <f t="shared" si="1"/>
        <v>1134</v>
      </c>
      <c r="J19" s="5">
        <f t="shared" si="2"/>
        <v>0</v>
      </c>
    </row>
    <row r="20" spans="1:10" x14ac:dyDescent="0.35">
      <c r="A20">
        <v>19</v>
      </c>
      <c r="B20" t="s">
        <v>55</v>
      </c>
      <c r="C20" t="s">
        <v>56</v>
      </c>
      <c r="D20" t="s">
        <v>57</v>
      </c>
      <c r="E20" t="s">
        <v>10</v>
      </c>
      <c r="F20" t="s">
        <v>52</v>
      </c>
      <c r="G20" s="3">
        <v>11250</v>
      </c>
      <c r="H20" s="4">
        <f t="shared" si="0"/>
        <v>900</v>
      </c>
      <c r="I20" s="4">
        <f t="shared" si="1"/>
        <v>1458</v>
      </c>
      <c r="J20" s="5">
        <f t="shared" si="2"/>
        <v>0</v>
      </c>
    </row>
    <row r="21" spans="1:10" x14ac:dyDescent="0.35">
      <c r="A21">
        <v>20</v>
      </c>
      <c r="B21" t="s">
        <v>58</v>
      </c>
      <c r="C21" t="s">
        <v>59</v>
      </c>
      <c r="D21" t="s">
        <v>60</v>
      </c>
      <c r="E21" t="s">
        <v>15</v>
      </c>
      <c r="F21" t="s">
        <v>11</v>
      </c>
      <c r="G21" s="3">
        <v>10000</v>
      </c>
      <c r="H21" s="4">
        <f t="shared" si="0"/>
        <v>800</v>
      </c>
      <c r="I21" s="4">
        <f t="shared" si="1"/>
        <v>1296</v>
      </c>
      <c r="J21" s="5">
        <f t="shared" si="2"/>
        <v>0</v>
      </c>
    </row>
    <row r="23" spans="1:10" x14ac:dyDescent="0.35">
      <c r="J23" t="s">
        <v>70</v>
      </c>
    </row>
    <row r="24" spans="1:10" x14ac:dyDescent="0.35">
      <c r="J24" t="s">
        <v>71</v>
      </c>
    </row>
    <row r="25" spans="1:10" x14ac:dyDescent="0.35">
      <c r="J25" t="s">
        <v>72</v>
      </c>
    </row>
  </sheetData>
  <dataValidations count="3">
    <dataValidation type="custom" allowBlank="1" showInputMessage="1" showErrorMessage="1" sqref="B1:B21" xr:uid="{FE087569-59FC-441A-BA17-DDC80A4A72B2}">
      <formula1>ISTEXT(B1)</formula1>
    </dataValidation>
    <dataValidation type="custom" operator="greaterThanOrEqual" allowBlank="1" showInputMessage="1" showErrorMessage="1" sqref="G1" xr:uid="{4AD3AB19-A8B3-4666-BFC9-F532771B6DC3}">
      <formula1>ISNUMBER(G2)</formula1>
    </dataValidation>
    <dataValidation type="custom" operator="greaterThanOrEqual" allowBlank="1" showInputMessage="1" showErrorMessage="1" sqref="G2:G21" xr:uid="{7007B198-EF98-41FC-8568-992F22319AF8}">
      <formula1>ISNUMBER(G2)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2026-06-10T12:41:40Z</dcterms:created>
  <dcterms:modified xsi:type="dcterms:W3CDTF">2026-06-10T14:13:09Z</dcterms:modified>
</cp:coreProperties>
</file>