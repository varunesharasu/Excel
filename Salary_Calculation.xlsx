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esant\Excel\"/>
    </mc:Choice>
  </mc:AlternateContent>
  <xr:revisionPtr revIDLastSave="0" documentId="13_ncr:1_{4C032B89-C520-4C35-AA97-A2288450A2D1}" xr6:coauthVersionLast="47" xr6:coauthVersionMax="47" xr10:uidLastSave="{00000000-0000-0000-0000-000000000000}"/>
  <bookViews>
    <workbookView xWindow="-110" yWindow="-110" windowWidth="19420" windowHeight="11020" xr2:uid="{7C07EA9C-7350-4ED6-A10A-AE57C94EE8E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R2" i="1"/>
  <c r="I29" i="1"/>
  <c r="H14" i="1"/>
  <c r="I14" i="1" s="1"/>
  <c r="J16" i="1"/>
  <c r="J12" i="1"/>
  <c r="J8" i="1"/>
  <c r="J4" i="1"/>
  <c r="J3" i="1"/>
  <c r="J5" i="1"/>
  <c r="J6" i="1"/>
  <c r="J7" i="1"/>
  <c r="J9" i="1"/>
  <c r="J10" i="1"/>
  <c r="J11" i="1"/>
  <c r="J13" i="1"/>
  <c r="J14" i="1"/>
  <c r="J15" i="1"/>
  <c r="J17" i="1"/>
  <c r="J18" i="1"/>
  <c r="J19" i="1"/>
  <c r="J20" i="1"/>
  <c r="J21" i="1"/>
  <c r="J2" i="1"/>
  <c r="H3" i="1"/>
  <c r="I3" i="1" s="1"/>
  <c r="H4" i="1"/>
  <c r="I4" i="1" s="1"/>
  <c r="H5" i="1"/>
  <c r="I5" i="1" s="1"/>
  <c r="H6" i="1"/>
  <c r="I6" i="1" s="1"/>
  <c r="H7" i="1"/>
  <c r="I7" i="1" s="1"/>
  <c r="H8" i="1"/>
  <c r="I8" i="1" s="1"/>
  <c r="H9" i="1"/>
  <c r="I9" i="1" s="1"/>
  <c r="H10" i="1"/>
  <c r="I10" i="1" s="1"/>
  <c r="H11" i="1"/>
  <c r="I11" i="1" s="1"/>
  <c r="H12" i="1"/>
  <c r="I12" i="1" s="1"/>
  <c r="H13" i="1"/>
  <c r="I13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" i="1"/>
  <c r="I2" i="1" s="1"/>
</calcChain>
</file>

<file path=xl/sharedStrings.xml><?xml version="1.0" encoding="utf-8"?>
<sst xmlns="http://schemas.openxmlformats.org/spreadsheetml/2006/main" count="127" uniqueCount="85">
  <si>
    <t>Emp Code</t>
  </si>
  <si>
    <t>Employee Name</t>
  </si>
  <si>
    <t>Address</t>
  </si>
  <si>
    <t>City</t>
  </si>
  <si>
    <t>Region</t>
  </si>
  <si>
    <t>Department</t>
  </si>
  <si>
    <t>Basic</t>
  </si>
  <si>
    <t>JP Kumar</t>
  </si>
  <si>
    <t>Andheri (W)</t>
  </si>
  <si>
    <t>Mumbai</t>
  </si>
  <si>
    <t>W</t>
  </si>
  <si>
    <t>Training</t>
  </si>
  <si>
    <t>Anjali Thakur</t>
  </si>
  <si>
    <t>Govindpuri</t>
  </si>
  <si>
    <t>Delhi</t>
  </si>
  <si>
    <t>N</t>
  </si>
  <si>
    <t>Accounts</t>
  </si>
  <si>
    <t>Priya Agarwal</t>
  </si>
  <si>
    <t>Sector 9</t>
  </si>
  <si>
    <t>Marketing</t>
  </si>
  <si>
    <t>R Vasu</t>
  </si>
  <si>
    <t>Egmore</t>
  </si>
  <si>
    <t>Chennai</t>
  </si>
  <si>
    <t>S</t>
  </si>
  <si>
    <t>R&amp;D</t>
  </si>
  <si>
    <t>Sanjay Gupta</t>
  </si>
  <si>
    <t>Jharna Biswal</t>
  </si>
  <si>
    <t>Link Road</t>
  </si>
  <si>
    <t>Cuttack</t>
  </si>
  <si>
    <t>E</t>
  </si>
  <si>
    <t>Prakash Dutta</t>
  </si>
  <si>
    <t>Elgin Road</t>
  </si>
  <si>
    <t>Kolkata</t>
  </si>
  <si>
    <t>Manisha Guha</t>
  </si>
  <si>
    <t>Alipore</t>
  </si>
  <si>
    <t>Arjun Jain</t>
  </si>
  <si>
    <t>MG Road</t>
  </si>
  <si>
    <t>Arjun Kapoor</t>
  </si>
  <si>
    <t>Bangalore</t>
  </si>
  <si>
    <t>Abrar</t>
  </si>
  <si>
    <t>Jayanagar</t>
  </si>
  <si>
    <t>Shahid Khan</t>
  </si>
  <si>
    <t>M.G Road</t>
  </si>
  <si>
    <t>Mangalore</t>
  </si>
  <si>
    <t>Anupam Mishra</t>
  </si>
  <si>
    <t>Mysore</t>
  </si>
  <si>
    <t>Ashwini</t>
  </si>
  <si>
    <t>Prateek Babbar</t>
  </si>
  <si>
    <t>North Road</t>
  </si>
  <si>
    <t>Sukanya Reddy</t>
  </si>
  <si>
    <t>Satish Puri</t>
  </si>
  <si>
    <t>Bandra</t>
  </si>
  <si>
    <t>Operation</t>
  </si>
  <si>
    <t>Anjum Chopra</t>
  </si>
  <si>
    <t>Worli</t>
  </si>
  <si>
    <t>Akram Khan</t>
  </si>
  <si>
    <t>S P B Road</t>
  </si>
  <si>
    <t>Pune</t>
  </si>
  <si>
    <t>Manish Grover</t>
  </si>
  <si>
    <t>L L R Road</t>
  </si>
  <si>
    <t>Noida</t>
  </si>
  <si>
    <t>DA of 8%</t>
  </si>
  <si>
    <t>HRA of 12% includes Basic + DA</t>
  </si>
  <si>
    <t>TA</t>
  </si>
  <si>
    <t>Incentive</t>
  </si>
  <si>
    <t>PF of 15%</t>
  </si>
  <si>
    <t>Professional Tax</t>
  </si>
  <si>
    <t>Net Salary</t>
  </si>
  <si>
    <t>Gross Salary</t>
  </si>
  <si>
    <t>Only for marketing dept people will get TA</t>
  </si>
  <si>
    <r>
      <t xml:space="preserve">for this use </t>
    </r>
    <r>
      <rPr>
        <b/>
        <sz val="11"/>
        <color theme="1"/>
        <rFont val="Calibri"/>
        <family val="2"/>
        <scheme val="minor"/>
      </rPr>
      <t>IF</t>
    </r>
    <r>
      <rPr>
        <sz val="11"/>
        <color theme="1"/>
        <rFont val="Calibri"/>
        <family val="2"/>
        <scheme val="minor"/>
      </rPr>
      <t xml:space="preserve"> </t>
    </r>
  </si>
  <si>
    <t>*=if(f2,$b$4,4000,0)</t>
  </si>
  <si>
    <t>Bonus for R&amp;D dept with south region</t>
  </si>
  <si>
    <t>*=if(and(f2=$f$4,e2=$e$5),3000,0)</t>
  </si>
  <si>
    <t>from dept training or region east</t>
  </si>
  <si>
    <t>upto 5000</t>
  </si>
  <si>
    <t>no tax</t>
  </si>
  <si>
    <t>salary</t>
  </si>
  <si>
    <t>condition</t>
  </si>
  <si>
    <t>5000 to 10000</t>
  </si>
  <si>
    <t>10000 to 15000</t>
  </si>
  <si>
    <t>15000 to 20000</t>
  </si>
  <si>
    <t>&gt;20000</t>
  </si>
  <si>
    <t>*=basic*15%</t>
  </si>
  <si>
    <t>*=IF(G2&lt;=5000,0,IF(G2&lt;=10000,100,IF(G2&lt;=15000,200,IF(G2&lt;=20000,300,400))))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</si>
</sst>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₹&quot;\ #,##0.00;[Red]&quot;₹&quot;\ #,##0.00"/>
    <numFmt numFmtId="165" formatCode="&quot;₹&quot;#,##0.00;[Red]&quot;₹&quot;#,##0.00"/>
    <numFmt numFmtId="166" formatCode="&quot;₹&quot;#,##0.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98D7C-B927-4C49-B642-925C296961BE}">
  <dimension ref="A1:U29"/>
  <sheetViews>
    <sheetView tabSelected="1" topLeftCell="O1" workbookViewId="0">
      <selection activeCell="W12" sqref="W12"/>
    </sheetView>
  </sheetViews>
  <sheetFormatPr defaultRowHeight="14.5" x14ac:dyDescent="0.35"/>
  <cols>
    <col min="1" max="1" width="9.26953125" bestFit="1" customWidth="1"/>
    <col min="2" max="2" width="14.453125" bestFit="1" customWidth="1"/>
    <col min="3" max="3" width="11" bestFit="1" customWidth="1"/>
    <col min="4" max="4" width="9.81640625" bestFit="1" customWidth="1"/>
    <col min="5" max="5" width="6.453125" bestFit="1" customWidth="1"/>
    <col min="6" max="6" width="11.08984375" bestFit="1" customWidth="1"/>
    <col min="7" max="7" width="10.26953125" bestFit="1" customWidth="1"/>
    <col min="8" max="8" width="8.81640625" bestFit="1" customWidth="1"/>
    <col min="9" max="9" width="27.08984375" bestFit="1" customWidth="1"/>
    <col min="10" max="10" width="36.26953125" bestFit="1" customWidth="1"/>
    <col min="11" max="11" width="33.1796875" bestFit="1" customWidth="1"/>
    <col min="12" max="12" width="28.26953125" bestFit="1" customWidth="1"/>
    <col min="13" max="13" width="11.453125" bestFit="1" customWidth="1"/>
    <col min="14" max="14" width="67.7265625" bestFit="1" customWidth="1"/>
    <col min="15" max="15" width="10.26953125" bestFit="1" customWidth="1"/>
    <col min="16" max="16" width="11" bestFit="1" customWidth="1"/>
    <col min="17" max="17" width="5.81640625" bestFit="1" customWidth="1"/>
    <col min="18" max="18" width="1.81640625" bestFit="1" customWidth="1"/>
    <col min="19" max="19" width="13.54296875" bestFit="1" customWidth="1"/>
    <col min="20" max="20" width="8.6328125" bestFit="1" customWidth="1"/>
  </cols>
  <sheetData>
    <row r="1" spans="1:21" ht="27.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61</v>
      </c>
      <c r="I1" s="1" t="s">
        <v>62</v>
      </c>
      <c r="J1" s="1" t="s">
        <v>63</v>
      </c>
      <c r="K1" s="1" t="s">
        <v>72</v>
      </c>
      <c r="L1" s="1" t="s">
        <v>64</v>
      </c>
      <c r="M1" s="1" t="s">
        <v>65</v>
      </c>
      <c r="N1" s="1" t="s">
        <v>66</v>
      </c>
      <c r="O1" s="1" t="s">
        <v>67</v>
      </c>
      <c r="P1" s="1" t="s">
        <v>68</v>
      </c>
    </row>
    <row r="2" spans="1:21" x14ac:dyDescent="0.35">
      <c r="A2">
        <v>1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s="3">
        <v>10000</v>
      </c>
      <c r="H2" s="4">
        <f>G2*8%</f>
        <v>800</v>
      </c>
      <c r="I2" s="4">
        <f>(G2+H2)*12%</f>
        <v>1296</v>
      </c>
      <c r="J2" s="5">
        <f>IF(F2=$F$4,4000,0)</f>
        <v>0</v>
      </c>
      <c r="K2">
        <f>IF(AND(F2=$F$5,E2=$E$5),3000,0)</f>
        <v>0</v>
      </c>
      <c r="L2">
        <f>IF(OR(F2=$F$2,E2=$E$7),5000,10)</f>
        <v>5000</v>
      </c>
      <c r="M2" s="4">
        <f>G2*15%</f>
        <v>1500</v>
      </c>
      <c r="N2">
        <f>IF(G2&lt;=5000,0,IF(G2&lt;=10000,100,IF(G2&lt;=15000,200,IF(G2&lt;=20000,300,400))))</f>
        <v>100</v>
      </c>
      <c r="O2" s="3">
        <f>SUM(G2:L2)</f>
        <v>17096</v>
      </c>
      <c r="P2" s="4">
        <f>SUM(M2:O2)</f>
        <v>18696</v>
      </c>
      <c r="R2">
        <f>IF(F2=$F$5,50000,0)</f>
        <v>0</v>
      </c>
      <c r="U2">
        <f>IF(G2&lt;=5000,0,IF(G2&lt;=10000,100,IF(G2&lt;=15000,200,IF(G2&lt;=20000,300,400))))</f>
        <v>100</v>
      </c>
    </row>
    <row r="3" spans="1:21" x14ac:dyDescent="0.35">
      <c r="A3">
        <v>2</v>
      </c>
      <c r="B3" t="s">
        <v>12</v>
      </c>
      <c r="C3" t="s">
        <v>13</v>
      </c>
      <c r="D3" t="s">
        <v>14</v>
      </c>
      <c r="E3" t="s">
        <v>15</v>
      </c>
      <c r="F3" t="s">
        <v>16</v>
      </c>
      <c r="G3" s="3">
        <v>12000</v>
      </c>
      <c r="H3" s="4">
        <f t="shared" ref="H3:H21" si="0">G3*8%</f>
        <v>960</v>
      </c>
      <c r="I3" s="4">
        <f t="shared" ref="I3:I21" si="1">(G3+H3)*12%</f>
        <v>1555.2</v>
      </c>
      <c r="J3" s="5">
        <f t="shared" ref="J3:J21" si="2">IF(F3=$F$4,4000,0)</f>
        <v>0</v>
      </c>
      <c r="K3">
        <f t="shared" ref="K3:K21" si="3">IF(AND(F3=$F$5,E3=$E$5),3000,0)</f>
        <v>0</v>
      </c>
      <c r="L3">
        <f t="shared" ref="L3:L21" si="4">IF(OR(F3=$F$2,E3=$E$7),5000,10)</f>
        <v>10</v>
      </c>
      <c r="M3" s="4">
        <f t="shared" ref="M3:M21" si="5">G3*15%</f>
        <v>1800</v>
      </c>
      <c r="N3">
        <f t="shared" ref="N3:N21" si="6">IF(G3&lt;=5000,0,IF(G3&lt;=10000,100,IF(G3&lt;=15000,200,IF(G3&lt;=20000,300,400))))</f>
        <v>200</v>
      </c>
      <c r="O3" s="3">
        <f t="shared" ref="O3:O21" si="7">SUM(G3:L3)</f>
        <v>14525.2</v>
      </c>
      <c r="P3" s="4">
        <f t="shared" ref="P3:P21" si="8">SUM(M3:O3)</f>
        <v>16525.2</v>
      </c>
      <c r="Q3">
        <f t="shared" ref="Q3:Q21" si="9">IF(F3=$F$5,50000,0)</f>
        <v>0</v>
      </c>
      <c r="U3">
        <f t="shared" ref="U3:U21" si="10">IF(G3&lt;=5000,0,IF(G3&lt;=10000,100,IF(G3&lt;=15000,200,IF(G3&lt;=20000,300,400))))</f>
        <v>200</v>
      </c>
    </row>
    <row r="4" spans="1:21" x14ac:dyDescent="0.35">
      <c r="A4">
        <v>3</v>
      </c>
      <c r="B4" t="s">
        <v>17</v>
      </c>
      <c r="C4" t="s">
        <v>18</v>
      </c>
      <c r="E4" t="s">
        <v>15</v>
      </c>
      <c r="F4" t="s">
        <v>19</v>
      </c>
      <c r="G4" s="3">
        <v>11250</v>
      </c>
      <c r="H4" s="4">
        <f t="shared" si="0"/>
        <v>900</v>
      </c>
      <c r="I4" s="4">
        <f t="shared" si="1"/>
        <v>1458</v>
      </c>
      <c r="J4" s="5">
        <f>IF(F4=$F$4,4000,0)</f>
        <v>4000</v>
      </c>
      <c r="K4">
        <f t="shared" si="3"/>
        <v>0</v>
      </c>
      <c r="L4">
        <f t="shared" si="4"/>
        <v>10</v>
      </c>
      <c r="M4" s="4">
        <f t="shared" si="5"/>
        <v>1687.5</v>
      </c>
      <c r="N4">
        <f t="shared" si="6"/>
        <v>200</v>
      </c>
      <c r="O4" s="3">
        <f t="shared" si="7"/>
        <v>17618</v>
      </c>
      <c r="P4" s="4">
        <f t="shared" si="8"/>
        <v>19505.5</v>
      </c>
      <c r="Q4">
        <f t="shared" si="9"/>
        <v>0</v>
      </c>
      <c r="U4">
        <f t="shared" si="10"/>
        <v>200</v>
      </c>
    </row>
    <row r="5" spans="1:21" x14ac:dyDescent="0.35">
      <c r="A5">
        <v>4</v>
      </c>
      <c r="B5" t="s">
        <v>20</v>
      </c>
      <c r="C5" t="s">
        <v>21</v>
      </c>
      <c r="D5" t="s">
        <v>22</v>
      </c>
      <c r="E5" t="s">
        <v>23</v>
      </c>
      <c r="F5" t="s">
        <v>24</v>
      </c>
      <c r="G5" s="3">
        <v>12000</v>
      </c>
      <c r="H5" s="4">
        <f t="shared" si="0"/>
        <v>960</v>
      </c>
      <c r="I5" s="4">
        <f t="shared" si="1"/>
        <v>1555.2</v>
      </c>
      <c r="J5" s="5">
        <f t="shared" si="2"/>
        <v>0</v>
      </c>
      <c r="K5">
        <f t="shared" si="3"/>
        <v>3000</v>
      </c>
      <c r="L5">
        <f t="shared" si="4"/>
        <v>10</v>
      </c>
      <c r="M5" s="4">
        <f t="shared" si="5"/>
        <v>1800</v>
      </c>
      <c r="N5">
        <f t="shared" si="6"/>
        <v>200</v>
      </c>
      <c r="O5" s="3">
        <f t="shared" si="7"/>
        <v>17525.2</v>
      </c>
      <c r="P5" s="4">
        <f t="shared" si="8"/>
        <v>19525.2</v>
      </c>
      <c r="Q5">
        <f t="shared" si="9"/>
        <v>50000</v>
      </c>
      <c r="U5">
        <f t="shared" si="10"/>
        <v>200</v>
      </c>
    </row>
    <row r="6" spans="1:21" x14ac:dyDescent="0.35">
      <c r="A6">
        <v>5</v>
      </c>
      <c r="B6" t="s">
        <v>25</v>
      </c>
      <c r="D6" t="s">
        <v>14</v>
      </c>
      <c r="E6" t="s">
        <v>15</v>
      </c>
      <c r="F6" t="s">
        <v>11</v>
      </c>
      <c r="G6" s="3">
        <v>16250</v>
      </c>
      <c r="H6" s="4">
        <f t="shared" si="0"/>
        <v>1300</v>
      </c>
      <c r="I6" s="4">
        <f t="shared" si="1"/>
        <v>2106</v>
      </c>
      <c r="J6" s="5">
        <f t="shared" si="2"/>
        <v>0</v>
      </c>
      <c r="K6">
        <f t="shared" si="3"/>
        <v>0</v>
      </c>
      <c r="L6">
        <f t="shared" si="4"/>
        <v>5000</v>
      </c>
      <c r="M6" s="4">
        <f t="shared" si="5"/>
        <v>2437.5</v>
      </c>
      <c r="N6">
        <f t="shared" si="6"/>
        <v>300</v>
      </c>
      <c r="O6" s="3">
        <f t="shared" si="7"/>
        <v>24656</v>
      </c>
      <c r="P6" s="4">
        <f t="shared" si="8"/>
        <v>27393.5</v>
      </c>
      <c r="Q6">
        <f t="shared" si="9"/>
        <v>0</v>
      </c>
      <c r="U6">
        <f t="shared" si="10"/>
        <v>300</v>
      </c>
    </row>
    <row r="7" spans="1:21" x14ac:dyDescent="0.35">
      <c r="A7">
        <v>6</v>
      </c>
      <c r="B7" t="s">
        <v>26</v>
      </c>
      <c r="C7" t="s">
        <v>27</v>
      </c>
      <c r="D7" t="s">
        <v>28</v>
      </c>
      <c r="E7" t="s">
        <v>29</v>
      </c>
      <c r="F7" t="s">
        <v>16</v>
      </c>
      <c r="G7" s="3">
        <v>6400</v>
      </c>
      <c r="H7" s="4">
        <f t="shared" si="0"/>
        <v>512</v>
      </c>
      <c r="I7" s="4">
        <f t="shared" si="1"/>
        <v>829.43999999999994</v>
      </c>
      <c r="J7" s="5">
        <f t="shared" si="2"/>
        <v>0</v>
      </c>
      <c r="K7">
        <f t="shared" si="3"/>
        <v>0</v>
      </c>
      <c r="L7">
        <f t="shared" si="4"/>
        <v>5000</v>
      </c>
      <c r="M7" s="4">
        <f t="shared" si="5"/>
        <v>960</v>
      </c>
      <c r="N7">
        <f t="shared" si="6"/>
        <v>100</v>
      </c>
      <c r="O7" s="3">
        <f t="shared" si="7"/>
        <v>12741.439999999999</v>
      </c>
      <c r="P7" s="4">
        <f t="shared" si="8"/>
        <v>13801.439999999999</v>
      </c>
      <c r="Q7">
        <f t="shared" si="9"/>
        <v>0</v>
      </c>
      <c r="S7" t="s">
        <v>77</v>
      </c>
      <c r="T7" t="s">
        <v>78</v>
      </c>
      <c r="U7">
        <f t="shared" si="10"/>
        <v>100</v>
      </c>
    </row>
    <row r="8" spans="1:21" x14ac:dyDescent="0.35">
      <c r="A8">
        <v>7</v>
      </c>
      <c r="B8" t="s">
        <v>30</v>
      </c>
      <c r="C8" t="s">
        <v>31</v>
      </c>
      <c r="D8" t="s">
        <v>32</v>
      </c>
      <c r="E8" t="s">
        <v>29</v>
      </c>
      <c r="F8" t="s">
        <v>19</v>
      </c>
      <c r="G8" s="3">
        <v>4500</v>
      </c>
      <c r="H8" s="4">
        <f t="shared" si="0"/>
        <v>360</v>
      </c>
      <c r="I8" s="4">
        <f t="shared" si="1"/>
        <v>583.19999999999993</v>
      </c>
      <c r="J8" s="5">
        <f>IF(F8=$F$4,4000,0)</f>
        <v>4000</v>
      </c>
      <c r="K8">
        <f t="shared" si="3"/>
        <v>0</v>
      </c>
      <c r="L8">
        <f t="shared" si="4"/>
        <v>5000</v>
      </c>
      <c r="M8" s="4">
        <f t="shared" si="5"/>
        <v>675</v>
      </c>
      <c r="N8">
        <f t="shared" si="6"/>
        <v>0</v>
      </c>
      <c r="O8" s="3">
        <f t="shared" si="7"/>
        <v>14443.2</v>
      </c>
      <c r="P8" s="4">
        <f t="shared" si="8"/>
        <v>15118.2</v>
      </c>
      <c r="Q8">
        <f t="shared" si="9"/>
        <v>0</v>
      </c>
      <c r="S8" t="s">
        <v>75</v>
      </c>
      <c r="T8" t="s">
        <v>76</v>
      </c>
      <c r="U8">
        <f t="shared" si="10"/>
        <v>0</v>
      </c>
    </row>
    <row r="9" spans="1:21" x14ac:dyDescent="0.35">
      <c r="A9">
        <v>8</v>
      </c>
      <c r="B9" t="s">
        <v>33</v>
      </c>
      <c r="C9" t="s">
        <v>34</v>
      </c>
      <c r="D9" t="s">
        <v>32</v>
      </c>
      <c r="E9" t="s">
        <v>29</v>
      </c>
      <c r="F9" t="s">
        <v>24</v>
      </c>
      <c r="G9" s="3">
        <v>6275</v>
      </c>
      <c r="H9" s="4">
        <f t="shared" si="0"/>
        <v>502</v>
      </c>
      <c r="I9" s="4">
        <f t="shared" si="1"/>
        <v>813.24</v>
      </c>
      <c r="J9" s="5">
        <f t="shared" si="2"/>
        <v>0</v>
      </c>
      <c r="K9">
        <f t="shared" si="3"/>
        <v>0</v>
      </c>
      <c r="L9">
        <f t="shared" si="4"/>
        <v>5000</v>
      </c>
      <c r="M9" s="4">
        <f t="shared" si="5"/>
        <v>941.25</v>
      </c>
      <c r="N9">
        <f t="shared" si="6"/>
        <v>100</v>
      </c>
      <c r="O9" s="3">
        <f t="shared" si="7"/>
        <v>12590.24</v>
      </c>
      <c r="P9" s="4">
        <f t="shared" si="8"/>
        <v>13631.49</v>
      </c>
      <c r="Q9">
        <f t="shared" si="9"/>
        <v>50000</v>
      </c>
      <c r="S9" t="s">
        <v>79</v>
      </c>
      <c r="T9">
        <v>100</v>
      </c>
      <c r="U9">
        <f t="shared" si="10"/>
        <v>100</v>
      </c>
    </row>
    <row r="10" spans="1:21" x14ac:dyDescent="0.35">
      <c r="A10">
        <v>9</v>
      </c>
      <c r="B10" t="s">
        <v>35</v>
      </c>
      <c r="C10" t="s">
        <v>36</v>
      </c>
      <c r="D10" t="s">
        <v>9</v>
      </c>
      <c r="E10" t="s">
        <v>10</v>
      </c>
      <c r="F10" t="s">
        <v>11</v>
      </c>
      <c r="G10" s="3">
        <v>6250</v>
      </c>
      <c r="H10" s="4">
        <f t="shared" si="0"/>
        <v>500</v>
      </c>
      <c r="I10" s="4">
        <f t="shared" si="1"/>
        <v>810</v>
      </c>
      <c r="J10" s="5">
        <f t="shared" si="2"/>
        <v>0</v>
      </c>
      <c r="K10">
        <f t="shared" si="3"/>
        <v>0</v>
      </c>
      <c r="L10">
        <f t="shared" si="4"/>
        <v>5000</v>
      </c>
      <c r="M10" s="4">
        <f t="shared" si="5"/>
        <v>937.5</v>
      </c>
      <c r="N10">
        <f t="shared" si="6"/>
        <v>100</v>
      </c>
      <c r="O10" s="3">
        <f t="shared" si="7"/>
        <v>12560</v>
      </c>
      <c r="P10" s="4">
        <f t="shared" si="8"/>
        <v>13597.5</v>
      </c>
      <c r="Q10">
        <f t="shared" si="9"/>
        <v>0</v>
      </c>
      <c r="S10" t="s">
        <v>80</v>
      </c>
      <c r="T10">
        <v>200</v>
      </c>
      <c r="U10">
        <f t="shared" si="10"/>
        <v>100</v>
      </c>
    </row>
    <row r="11" spans="1:21" x14ac:dyDescent="0.35">
      <c r="A11">
        <v>10</v>
      </c>
      <c r="B11" t="s">
        <v>37</v>
      </c>
      <c r="D11" t="s">
        <v>38</v>
      </c>
      <c r="E11" t="s">
        <v>23</v>
      </c>
      <c r="F11" t="s">
        <v>16</v>
      </c>
      <c r="G11" s="3">
        <v>8750</v>
      </c>
      <c r="H11" s="4">
        <f t="shared" si="0"/>
        <v>700</v>
      </c>
      <c r="I11" s="4">
        <f t="shared" si="1"/>
        <v>1134</v>
      </c>
      <c r="J11" s="5">
        <f t="shared" si="2"/>
        <v>0</v>
      </c>
      <c r="K11">
        <f t="shared" si="3"/>
        <v>0</v>
      </c>
      <c r="L11">
        <f t="shared" si="4"/>
        <v>10</v>
      </c>
      <c r="M11" s="4">
        <f t="shared" si="5"/>
        <v>1312.5</v>
      </c>
      <c r="N11">
        <f t="shared" si="6"/>
        <v>100</v>
      </c>
      <c r="O11" s="3">
        <f t="shared" si="7"/>
        <v>10594</v>
      </c>
      <c r="P11" s="4">
        <f t="shared" si="8"/>
        <v>12006.5</v>
      </c>
      <c r="Q11">
        <f t="shared" si="9"/>
        <v>0</v>
      </c>
      <c r="S11" t="s">
        <v>81</v>
      </c>
      <c r="T11">
        <v>300</v>
      </c>
      <c r="U11">
        <f t="shared" si="10"/>
        <v>100</v>
      </c>
    </row>
    <row r="12" spans="1:21" x14ac:dyDescent="0.35">
      <c r="A12">
        <v>11</v>
      </c>
      <c r="B12" t="s">
        <v>39</v>
      </c>
      <c r="C12" t="s">
        <v>40</v>
      </c>
      <c r="D12" t="s">
        <v>38</v>
      </c>
      <c r="E12" t="s">
        <v>23</v>
      </c>
      <c r="F12" t="s">
        <v>19</v>
      </c>
      <c r="G12" s="3">
        <v>11250</v>
      </c>
      <c r="H12" s="4">
        <f t="shared" si="0"/>
        <v>900</v>
      </c>
      <c r="I12" s="4">
        <f t="shared" si="1"/>
        <v>1458</v>
      </c>
      <c r="J12" s="5">
        <f>IF(F12=$F$4,4000,0)</f>
        <v>4000</v>
      </c>
      <c r="K12">
        <f t="shared" si="3"/>
        <v>0</v>
      </c>
      <c r="L12">
        <f t="shared" si="4"/>
        <v>10</v>
      </c>
      <c r="M12" s="4">
        <f t="shared" si="5"/>
        <v>1687.5</v>
      </c>
      <c r="N12">
        <f t="shared" si="6"/>
        <v>200</v>
      </c>
      <c r="O12" s="3">
        <f t="shared" si="7"/>
        <v>17618</v>
      </c>
      <c r="P12" s="4">
        <f t="shared" si="8"/>
        <v>19505.5</v>
      </c>
      <c r="Q12">
        <f t="shared" si="9"/>
        <v>0</v>
      </c>
      <c r="S12" t="s">
        <v>82</v>
      </c>
      <c r="T12">
        <v>400</v>
      </c>
      <c r="U12">
        <f t="shared" si="10"/>
        <v>200</v>
      </c>
    </row>
    <row r="13" spans="1:21" x14ac:dyDescent="0.35">
      <c r="A13">
        <v>12</v>
      </c>
      <c r="B13" t="s">
        <v>41</v>
      </c>
      <c r="C13" t="s">
        <v>42</v>
      </c>
      <c r="D13" t="s">
        <v>43</v>
      </c>
      <c r="E13" t="s">
        <v>23</v>
      </c>
      <c r="F13" t="s">
        <v>24</v>
      </c>
      <c r="G13" s="3">
        <v>10000</v>
      </c>
      <c r="H13" s="4">
        <f t="shared" si="0"/>
        <v>800</v>
      </c>
      <c r="I13" s="4">
        <f t="shared" si="1"/>
        <v>1296</v>
      </c>
      <c r="J13" s="5">
        <f t="shared" si="2"/>
        <v>0</v>
      </c>
      <c r="K13">
        <f t="shared" si="3"/>
        <v>3000</v>
      </c>
      <c r="L13">
        <f t="shared" si="4"/>
        <v>10</v>
      </c>
      <c r="M13" s="4">
        <f t="shared" si="5"/>
        <v>1500</v>
      </c>
      <c r="N13">
        <f t="shared" si="6"/>
        <v>100</v>
      </c>
      <c r="O13" s="3">
        <f t="shared" si="7"/>
        <v>15106</v>
      </c>
      <c r="P13" s="4">
        <f t="shared" si="8"/>
        <v>16706</v>
      </c>
      <c r="Q13">
        <f t="shared" si="9"/>
        <v>50000</v>
      </c>
      <c r="U13">
        <f t="shared" si="10"/>
        <v>100</v>
      </c>
    </row>
    <row r="14" spans="1:21" x14ac:dyDescent="0.35">
      <c r="A14">
        <v>13</v>
      </c>
      <c r="B14" t="s">
        <v>44</v>
      </c>
      <c r="C14" t="s">
        <v>13</v>
      </c>
      <c r="D14" t="s">
        <v>45</v>
      </c>
      <c r="E14" t="s">
        <v>23</v>
      </c>
      <c r="F14" t="s">
        <v>11</v>
      </c>
      <c r="G14" s="3">
        <v>16250</v>
      </c>
      <c r="H14" s="4">
        <f>G14*8%</f>
        <v>1300</v>
      </c>
      <c r="I14" s="4">
        <f t="shared" si="1"/>
        <v>2106</v>
      </c>
      <c r="J14" s="5">
        <f t="shared" si="2"/>
        <v>0</v>
      </c>
      <c r="K14">
        <f t="shared" si="3"/>
        <v>0</v>
      </c>
      <c r="L14">
        <f t="shared" si="4"/>
        <v>5000</v>
      </c>
      <c r="M14" s="4">
        <f t="shared" si="5"/>
        <v>2437.5</v>
      </c>
      <c r="N14">
        <f t="shared" si="6"/>
        <v>300</v>
      </c>
      <c r="O14" s="3">
        <f t="shared" si="7"/>
        <v>24656</v>
      </c>
      <c r="P14" s="4">
        <f t="shared" si="8"/>
        <v>27393.5</v>
      </c>
      <c r="Q14">
        <f t="shared" si="9"/>
        <v>0</v>
      </c>
      <c r="U14">
        <f t="shared" si="10"/>
        <v>300</v>
      </c>
    </row>
    <row r="15" spans="1:21" x14ac:dyDescent="0.35">
      <c r="A15">
        <v>14</v>
      </c>
      <c r="B15" t="s">
        <v>46</v>
      </c>
      <c r="C15" t="s">
        <v>18</v>
      </c>
      <c r="D15" t="s">
        <v>43</v>
      </c>
      <c r="E15" t="s">
        <v>23</v>
      </c>
      <c r="F15" t="s">
        <v>16</v>
      </c>
      <c r="G15" s="3">
        <v>6400</v>
      </c>
      <c r="H15" s="4">
        <f t="shared" si="0"/>
        <v>512</v>
      </c>
      <c r="I15" s="4">
        <f t="shared" si="1"/>
        <v>829.43999999999994</v>
      </c>
      <c r="J15" s="5">
        <f t="shared" si="2"/>
        <v>0</v>
      </c>
      <c r="K15">
        <f t="shared" si="3"/>
        <v>0</v>
      </c>
      <c r="L15">
        <f t="shared" si="4"/>
        <v>10</v>
      </c>
      <c r="M15" s="4">
        <f t="shared" si="5"/>
        <v>960</v>
      </c>
      <c r="N15">
        <f t="shared" si="6"/>
        <v>100</v>
      </c>
      <c r="O15" s="3">
        <f t="shared" si="7"/>
        <v>7751.44</v>
      </c>
      <c r="P15" s="4">
        <f t="shared" si="8"/>
        <v>8811.4399999999987</v>
      </c>
      <c r="Q15">
        <f t="shared" si="9"/>
        <v>0</v>
      </c>
      <c r="U15">
        <f t="shared" si="10"/>
        <v>100</v>
      </c>
    </row>
    <row r="16" spans="1:21" x14ac:dyDescent="0.35">
      <c r="A16">
        <v>15</v>
      </c>
      <c r="B16" t="s">
        <v>47</v>
      </c>
      <c r="C16" t="s">
        <v>48</v>
      </c>
      <c r="D16" t="s">
        <v>14</v>
      </c>
      <c r="E16" t="s">
        <v>15</v>
      </c>
      <c r="F16" t="s">
        <v>19</v>
      </c>
      <c r="G16" s="3">
        <v>4500</v>
      </c>
      <c r="H16" s="4">
        <f t="shared" si="0"/>
        <v>360</v>
      </c>
      <c r="I16" s="4">
        <f t="shared" si="1"/>
        <v>583.19999999999993</v>
      </c>
      <c r="J16" s="5">
        <f>IF(F16=$F$4,4000,0)</f>
        <v>4000</v>
      </c>
      <c r="K16">
        <f t="shared" si="3"/>
        <v>0</v>
      </c>
      <c r="L16">
        <f t="shared" si="4"/>
        <v>10</v>
      </c>
      <c r="M16" s="4">
        <f t="shared" si="5"/>
        <v>675</v>
      </c>
      <c r="N16">
        <f t="shared" si="6"/>
        <v>0</v>
      </c>
      <c r="O16" s="3">
        <f t="shared" si="7"/>
        <v>9453.2000000000007</v>
      </c>
      <c r="P16" s="4">
        <f t="shared" si="8"/>
        <v>10128.200000000001</v>
      </c>
      <c r="Q16">
        <f t="shared" si="9"/>
        <v>0</v>
      </c>
      <c r="U16">
        <f t="shared" si="10"/>
        <v>0</v>
      </c>
    </row>
    <row r="17" spans="1:21" x14ac:dyDescent="0.35">
      <c r="A17">
        <v>16</v>
      </c>
      <c r="B17" t="s">
        <v>49</v>
      </c>
      <c r="D17" t="s">
        <v>43</v>
      </c>
      <c r="E17" t="s">
        <v>23</v>
      </c>
      <c r="F17" t="s">
        <v>24</v>
      </c>
      <c r="G17" s="3">
        <v>6275</v>
      </c>
      <c r="H17" s="4">
        <f t="shared" si="0"/>
        <v>502</v>
      </c>
      <c r="I17" s="4">
        <f t="shared" si="1"/>
        <v>813.24</v>
      </c>
      <c r="J17" s="5">
        <f t="shared" si="2"/>
        <v>0</v>
      </c>
      <c r="K17">
        <f t="shared" si="3"/>
        <v>3000</v>
      </c>
      <c r="L17">
        <f t="shared" si="4"/>
        <v>10</v>
      </c>
      <c r="M17" s="4">
        <f t="shared" si="5"/>
        <v>941.25</v>
      </c>
      <c r="N17">
        <f t="shared" si="6"/>
        <v>100</v>
      </c>
      <c r="O17" s="3">
        <f t="shared" si="7"/>
        <v>10600.24</v>
      </c>
      <c r="P17" s="4">
        <f t="shared" si="8"/>
        <v>11641.49</v>
      </c>
      <c r="Q17">
        <f t="shared" si="9"/>
        <v>50000</v>
      </c>
      <c r="U17">
        <f t="shared" si="10"/>
        <v>100</v>
      </c>
    </row>
    <row r="18" spans="1:21" x14ac:dyDescent="0.35">
      <c r="A18">
        <v>17</v>
      </c>
      <c r="B18" t="s">
        <v>50</v>
      </c>
      <c r="C18" t="s">
        <v>51</v>
      </c>
      <c r="D18" t="s">
        <v>9</v>
      </c>
      <c r="E18" t="s">
        <v>10</v>
      </c>
      <c r="F18" t="s">
        <v>52</v>
      </c>
      <c r="G18" s="3">
        <v>6250</v>
      </c>
      <c r="H18" s="4">
        <f t="shared" si="0"/>
        <v>500</v>
      </c>
      <c r="I18" s="4">
        <f t="shared" si="1"/>
        <v>810</v>
      </c>
      <c r="J18" s="5">
        <f t="shared" si="2"/>
        <v>0</v>
      </c>
      <c r="K18">
        <f t="shared" si="3"/>
        <v>0</v>
      </c>
      <c r="L18">
        <f t="shared" si="4"/>
        <v>10</v>
      </c>
      <c r="M18" s="4">
        <f t="shared" si="5"/>
        <v>937.5</v>
      </c>
      <c r="N18">
        <f t="shared" si="6"/>
        <v>100</v>
      </c>
      <c r="O18" s="3">
        <f t="shared" si="7"/>
        <v>7570</v>
      </c>
      <c r="P18" s="4">
        <f t="shared" si="8"/>
        <v>8607.5</v>
      </c>
      <c r="Q18">
        <f t="shared" si="9"/>
        <v>0</v>
      </c>
      <c r="U18">
        <f t="shared" si="10"/>
        <v>100</v>
      </c>
    </row>
    <row r="19" spans="1:21" x14ac:dyDescent="0.35">
      <c r="A19">
        <v>18</v>
      </c>
      <c r="B19" t="s">
        <v>53</v>
      </c>
      <c r="C19" t="s">
        <v>54</v>
      </c>
      <c r="D19" t="s">
        <v>9</v>
      </c>
      <c r="E19" t="s">
        <v>10</v>
      </c>
      <c r="F19" t="s">
        <v>24</v>
      </c>
      <c r="G19" s="3">
        <v>8750</v>
      </c>
      <c r="H19" s="4">
        <f t="shared" si="0"/>
        <v>700</v>
      </c>
      <c r="I19" s="4">
        <f t="shared" si="1"/>
        <v>1134</v>
      </c>
      <c r="J19" s="5">
        <f t="shared" si="2"/>
        <v>0</v>
      </c>
      <c r="K19">
        <f t="shared" si="3"/>
        <v>0</v>
      </c>
      <c r="L19">
        <f t="shared" si="4"/>
        <v>10</v>
      </c>
      <c r="M19" s="4">
        <f t="shared" si="5"/>
        <v>1312.5</v>
      </c>
      <c r="N19">
        <f t="shared" si="6"/>
        <v>100</v>
      </c>
      <c r="O19" s="3">
        <f t="shared" si="7"/>
        <v>10594</v>
      </c>
      <c r="P19" s="4">
        <f t="shared" si="8"/>
        <v>12006.5</v>
      </c>
      <c r="Q19">
        <f t="shared" si="9"/>
        <v>50000</v>
      </c>
      <c r="U19">
        <f t="shared" si="10"/>
        <v>100</v>
      </c>
    </row>
    <row r="20" spans="1:21" x14ac:dyDescent="0.35">
      <c r="A20">
        <v>19</v>
      </c>
      <c r="B20" t="s">
        <v>55</v>
      </c>
      <c r="C20" t="s">
        <v>56</v>
      </c>
      <c r="D20" t="s">
        <v>57</v>
      </c>
      <c r="E20" t="s">
        <v>10</v>
      </c>
      <c r="F20" t="s">
        <v>52</v>
      </c>
      <c r="G20" s="3">
        <v>11250</v>
      </c>
      <c r="H20" s="4">
        <f t="shared" si="0"/>
        <v>900</v>
      </c>
      <c r="I20" s="4">
        <f t="shared" si="1"/>
        <v>1458</v>
      </c>
      <c r="J20" s="5">
        <f t="shared" si="2"/>
        <v>0</v>
      </c>
      <c r="K20">
        <f t="shared" si="3"/>
        <v>0</v>
      </c>
      <c r="L20">
        <f t="shared" si="4"/>
        <v>10</v>
      </c>
      <c r="M20" s="4">
        <f t="shared" si="5"/>
        <v>1687.5</v>
      </c>
      <c r="N20">
        <f t="shared" si="6"/>
        <v>200</v>
      </c>
      <c r="O20" s="3">
        <f t="shared" si="7"/>
        <v>13618</v>
      </c>
      <c r="P20" s="4">
        <f t="shared" si="8"/>
        <v>15505.5</v>
      </c>
      <c r="Q20">
        <f t="shared" si="9"/>
        <v>0</v>
      </c>
      <c r="U20">
        <f t="shared" si="10"/>
        <v>200</v>
      </c>
    </row>
    <row r="21" spans="1:21" x14ac:dyDescent="0.35">
      <c r="A21">
        <v>20</v>
      </c>
      <c r="B21" t="s">
        <v>58</v>
      </c>
      <c r="C21" t="s">
        <v>59</v>
      </c>
      <c r="D21" t="s">
        <v>60</v>
      </c>
      <c r="E21" t="s">
        <v>15</v>
      </c>
      <c r="F21" t="s">
        <v>11</v>
      </c>
      <c r="G21" s="3">
        <v>10000</v>
      </c>
      <c r="H21" s="4">
        <f t="shared" si="0"/>
        <v>800</v>
      </c>
      <c r="I21" s="4">
        <f t="shared" si="1"/>
        <v>1296</v>
      </c>
      <c r="J21" s="5">
        <f t="shared" si="2"/>
        <v>0</v>
      </c>
      <c r="K21">
        <f t="shared" si="3"/>
        <v>0</v>
      </c>
      <c r="L21">
        <f t="shared" si="4"/>
        <v>5000</v>
      </c>
      <c r="M21" s="4">
        <f t="shared" si="5"/>
        <v>1500</v>
      </c>
      <c r="N21">
        <f t="shared" si="6"/>
        <v>100</v>
      </c>
      <c r="O21" s="3">
        <f t="shared" si="7"/>
        <v>17096</v>
      </c>
      <c r="P21" s="4">
        <f t="shared" si="8"/>
        <v>18696</v>
      </c>
      <c r="Q21">
        <f t="shared" si="9"/>
        <v>0</v>
      </c>
      <c r="U21">
        <f t="shared" si="10"/>
        <v>100</v>
      </c>
    </row>
    <row r="23" spans="1:21" x14ac:dyDescent="0.35">
      <c r="J23" t="s">
        <v>69</v>
      </c>
      <c r="K23" t="s">
        <v>73</v>
      </c>
      <c r="L23" t="s">
        <v>74</v>
      </c>
      <c r="M23" t="s">
        <v>83</v>
      </c>
      <c r="N23" t="s">
        <v>84</v>
      </c>
    </row>
    <row r="24" spans="1:21" x14ac:dyDescent="0.35">
      <c r="J24" t="s">
        <v>70</v>
      </c>
    </row>
    <row r="25" spans="1:21" x14ac:dyDescent="0.35">
      <c r="J25" t="s">
        <v>71</v>
      </c>
    </row>
    <row r="29" spans="1:21" x14ac:dyDescent="0.35">
      <c r="I29">
        <f>IF(F2=$F$5,50000,0)</f>
        <v>0</v>
      </c>
    </row>
  </sheetData>
  <dataValidations disablePrompts="1" count="3">
    <dataValidation type="custom" allowBlank="1" showInputMessage="1" showErrorMessage="1" sqref="B1:B21" xr:uid="{FE087569-59FC-441A-BA17-DDC80A4A72B2}">
      <formula1>ISTEXT(B1)</formula1>
    </dataValidation>
    <dataValidation type="custom" operator="greaterThanOrEqual" allowBlank="1" showInputMessage="1" showErrorMessage="1" sqref="G1" xr:uid="{4AD3AB19-A8B3-4666-BFC9-F532771B6DC3}">
      <formula1>ISNUMBER(G2)</formula1>
    </dataValidation>
    <dataValidation type="custom" operator="greaterThanOrEqual" allowBlank="1" showInputMessage="1" showErrorMessage="1" sqref="G2:G21" xr:uid="{7007B198-EF98-41FC-8568-992F22319AF8}">
      <formula1>ISNUMBER(G2)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Varunesh T</dc:creator>
  <cp:lastModifiedBy>Varunesh T</cp:lastModifiedBy>
  <dcterms:created xsi:type="dcterms:W3CDTF">2026-06-10T12:41:40Z</dcterms:created>
  <dcterms:modified xsi:type="dcterms:W3CDTF">2026-06-12T07:03:20Z</dcterms:modified>
</cp:coreProperties>
</file>