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Basic Operations\"/>
    </mc:Choice>
  </mc:AlternateContent>
  <xr:revisionPtr revIDLastSave="0" documentId="13_ncr:1_{2AF6D8D2-0E75-4971-B20E-4C5BD3C23C0E}" xr6:coauthVersionLast="47" xr6:coauthVersionMax="47" xr10:uidLastSave="{00000000-0000-0000-0000-000000000000}"/>
  <bookViews>
    <workbookView xWindow="-110" yWindow="-110" windowWidth="19420" windowHeight="11020" tabRatio="955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<sst xmlns="http://schemas.openxmlformats.org/spreadsheetml/2006/main" count="695" uniqueCount="441">
  <si>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</si>
  <si>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</si>
  <si>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</si>
  <si>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</si>
  <si>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</si>
  <si>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</si>
  <si>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</si>
  <si>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</si>
  <si>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</si>
  <si>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</si>
  <si>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</si>
  <si>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</si>
  <si>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</si>
  <si>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</si>
  <si>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</si>
  <si>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</si>
  <si>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</si>
  <si>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</si>
  <si>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</si>
  <si>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</si>
  <si>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</si>
  <si>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</si>
  <si>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</si>
  <si>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</si>
  <si>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</si>
  <si>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</si>
  <si>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</si>
  <si>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</si>
  <si>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</si>
  <si>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</si>
  <si>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</si>
  <si>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</si>
  <si>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</si>
  <si>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</si>
  <si>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</si>
  <si>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</si>
  <si>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</si>
  <si>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</si>
  <si>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</si>
  <si>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</si>
  <si>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</si>
  <si>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</si>
  <si>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</si>
  <si>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</si>
  <si>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</si>
  <si>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</si>
  <si>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</si>
  <si>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</si>
  <si>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</si>
  <si>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</si>
  <si>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</si>
  <si>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</si>
  <si>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</si>
  <si>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</si>
  <si>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</si>
  <si>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</si>
  <si>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</si>
  <si>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</si>
  <si>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</si>
  <si>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</si>
  <si>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</si>
  <si>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</si>
  <si>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</si>
  <si>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</si>
  <si>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</si>
  <si>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</si>
  <si>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</si>
  <si>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</si>
  <si>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</si>
  <si>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</si>
  <si>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</si>
  <si>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</si>
  <si>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</si>
  <si>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</si>
  <si>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</si>
  <si>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</si>
  <si>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</si>
  <si>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</si>
  <si>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</si>
  <si>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</si>
  <si>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</si>
  <si>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</si>
  <si>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</si>
  <si>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</si>
  <si>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</si>
  <si>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</si>
  <si>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</si>
  <si>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</si>
  <si>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</si>
  <si>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</si>
  <si>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</si>
  <si>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</si>
  <si>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</si>
  <si>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</si>
  <si>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</si>
  <si>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</si>
  <si>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</si>
  <si>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</si>
  <si>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</si>
  <si>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</si>
  <si>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</si>
  <si>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</si>
  <si>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</si>
  <si>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</si>
  <si>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</si>
  <si>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</si>
  <si>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</si>
  <si>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</si>
  <si>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</si>
  <si>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</si>
  <si>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</si>
  <si>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</si>
  <si>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</si>
  <si>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</si>
  <si>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</si>
  <si>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</si>
  <si>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</si>
  <si>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</si>
  <si>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</si>
  <si>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</si>
  <si>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</si>
  <si>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</si>
  <si>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</si>
  <si>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</si>
  <si>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</si>
  <si>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</si>
  <si>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</si>
  <si>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</si>
  <si>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</si>
  <si>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</si>
  <si>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</si>
  <si>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</si>
  <si>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</si>
  <si>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</si>
  <si>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</si>
  <si>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</si>
  <si>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</si>
  <si>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</si>
  <si>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</si>
  <si>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</si>
  <si>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</si>
  <si>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</si>
  <si>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</si>
  <si>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</si>
  <si>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</si>
  <si>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</si>
  <si>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</si>
  <si>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</si>
  <si>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</si>
  <si>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</si>
  <si>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</si>
  <si>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</si>
  <si>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</si>
  <si>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</si>
  <si>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</si>
  <si>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</si>
  <si>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</si>
  <si>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</si>
  <si>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</si>
  <si>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</si>
  <si>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</si>
  <si>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</si>
  <si>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</si>
  <si>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</si>
  <si>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</si>
  <si>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</si>
  <si>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</si>
  <si>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</si>
  <si>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</si>
  <si>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</si>
  <si>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</si>
  <si>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</si>
  <si>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</si>
  <si>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</si>
  <si>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</si>
  <si>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</si>
  <si>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</si>
  <si>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</si>
  <si>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</si>
  <si>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</si>
  <si>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</si>
  <si>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</si>
  <si>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</si>
  <si>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</si>
  <si>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</si>
  <si>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</si>
  <si>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</si>
  <si>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</si>
  <si>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</si>
  <si>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</si>
  <si>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</si>
  <si>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</si>
  <si>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</si>
  <si>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</si>
  <si>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</si>
  <si>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</si>
  <si>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</si>
  <si>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</si>
  <si>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</si>
  <si>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</si>
  <si>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</si>
  <si>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</si>
  <si>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</si>
  <si>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</si>
  <si>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</si>
  <si>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</si>
  <si>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</si>
  <si>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</si>
  <si>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</si>
  <si>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</si>
  <si>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</si>
  <si>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</si>
  <si>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</si>
  <si>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</si>
  <si>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</si>
  <si>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</si>
  <si>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</si>
  <si>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</si>
  <si>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</si>
  <si>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</si>
  <si>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</si>
  <si>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</si>
  <si>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</si>
  <si>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</si>
  <si>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</si>
  <si>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</si>
  <si>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</si>
  <si>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</si>
  <si>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</si>
  <si>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</si>
  <si>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</si>
  <si>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</si>
  <si>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</si>
  <si>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</si>
  <si>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</si>
  <si>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</si>
  <si>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</si>
  <si>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</si>
  <si>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</si>
  <si>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</si>
  <si>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</si>
  <si>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</si>
  <si>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</si>
  <si>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</si>
  <si>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</si>
  <si>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</si>
  <si>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</si>
  <si>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</si>
  <si>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</si>
  <si>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</si>
  <si>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</si>
  <si>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</si>
  <si>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</si>
  <si>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</si>
  <si>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</si>
  <si>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</si>
  <si>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</si>
  <si>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</si>
  <si>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</si>
  <si>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</si>
  <si>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</si>
  <si>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</si>
  <si>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</si>
  <si>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</si>
  <si>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</si>
  <si>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</si>
  <si>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</si>
  <si>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</si>
  <si>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</si>
  <si>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</si>
  <si>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</si>
  <si>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</si>
  <si>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</si>
  <si>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</si>
  <si>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</si>
  <si>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</si>
  <si>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</si>
  <si>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</si>
  <si>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</si>
  <si>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</si>
  <si>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</si>
  <si>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</si>
  <si>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</si>
  <si>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</si>
  <si>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</si>
  <si>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</si>
  <si>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</si>
  <si>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</si>
  <si>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</si>
  <si>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</si>
  <si>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</si>
  <si>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</si>
  <si>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</si>
  <si>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</si>
  <si>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</si>
  <si>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</si>
  <si>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</si>
  <si>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</si>
  <si>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</si>
  <si>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</si>
  <si>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</si>
  <si>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</si>
  <si>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</si>
  <si>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</si>
  <si>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</si>
  <si>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</si>
  <si>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</si>
  <si>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</si>
  <si>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</si>
  <si>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</si>
  <si>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</si>
  <si>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</si>
  <si>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</si>
  <si>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</si>
  <si>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</si>
  <si>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</si>
  <si>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</si>
  <si>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</si>
  <si>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</si>
  <si>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</si>
  <si>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</si>
  <si>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</si>
  <si>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</si>
  <si>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</si>
  <si>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</si>
  <si>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</si>
  <si>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</si>
  <si>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</si>
  <si>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</si>
  <si>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</si>
  <si>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</si>
  <si>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</si>
  <si>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</si>
  <si>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</si>
  <si>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</si>
  <si>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</si>
  <si>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</si>
  <si>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</si>
  <si>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</si>
  <si>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</si>
  <si>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</si>
  <si>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</si>
  <si>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</si>
  <si>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</si>
  <si>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</si>
  <si>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</si>
  <si>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</si>
  <si>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</si>
  <si>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</si>
  <si>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</si>
  <si>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</si>
  <si>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</si>
  <si>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</si>
  <si>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</si>
  <si>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</si>
  <si>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</si>
  <si>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</si>
  <si>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</si>
  <si>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</si>
  <si>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</si>
  <si>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</si>
  <si>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</si>
  <si>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</si>
  <si>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</si>
  <si>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</si>
  <si>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</si>
  <si>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</si>
  <si>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</si>
  <si>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</si>
  <si>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</si>
  <si>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</si>
  <si>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</si>
  <si>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</si>
  <si>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</si>
  <si>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</si>
  <si>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</si>
  <si>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</si>
  <si>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</si>
  <si>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</si>
  <si>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</si>
  <si>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</si>
  <si>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</si>
  <si>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</si>
  <si>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</si>
  <si>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</si>
  <si>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</si>
  <si>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</si>
  <si>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</si>
  <si>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</si>
  <si>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</si>
  <si>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</si>
  <si>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</si>
  <si>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</si>
  <si>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</si>
  <si>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</si>
  <si>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</si>
  <si>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</si>
  <si>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</si>
  <si>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</si>
  <si>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</si>
  <si>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</si>
  <si>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</si>
  <si>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</si>
  <si>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</si>
  <si>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</si>
  <si>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</si>
  <si>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</si>
  <si>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</si>
  <si>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</si>
  <si>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</si>
  <si>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</si>
  <si>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</si>
  <si>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</si>
  <si>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</si>
  <si>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</si>
  <si>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</si>
  <si>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</si>
  <si>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</si>
  <si>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</si>
  <si>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</si>
  <si>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</si>
  <si>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</si>
  <si>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</si>
  <si>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</si>
  <si>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</si>
  <si>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</si>
  <si>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</si>
  <si>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</si>
  <si>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</si>
  <si>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</si>
  <si>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</si>
  <si>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</si>
  <si>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</si>
  <si>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</si>
  <si>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</si>
  <si>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</si>
  <si>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</si>
  <si>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</si>
  <si>
    <t>then select the destination where to display</t>
  </si>
  <si>
    <t>then click finish</t>
  </si>
  <si>
    <t>Emp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</si>
</sst>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194</v>
      </c>
    </row>
    <row r="2" spans="1:2" x14ac:dyDescent="0.35">
      <c r="A2">
        <v>2</v>
      </c>
      <c r="B2" t="s">
        <v>196</v>
      </c>
    </row>
    <row r="3" spans="1:2" x14ac:dyDescent="0.35">
      <c r="A3">
        <v>3</v>
      </c>
      <c r="B3" t="s">
        <v>195</v>
      </c>
    </row>
    <row r="4" spans="1:2" x14ac:dyDescent="0.35">
      <c r="A4">
        <v>4</v>
      </c>
      <c r="B4" t="s">
        <v>197</v>
      </c>
    </row>
    <row r="5" spans="1:2" x14ac:dyDescent="0.35">
      <c r="A5">
        <v>5</v>
      </c>
      <c r="B5" t="s">
        <v>198</v>
      </c>
    </row>
    <row r="6" spans="1:2" x14ac:dyDescent="0.35">
      <c r="A6">
        <v>6</v>
      </c>
      <c r="B6" t="s">
        <v>199</v>
      </c>
    </row>
    <row r="7" spans="1:2" x14ac:dyDescent="0.35">
      <c r="A7">
        <v>7</v>
      </c>
      <c r="B7" t="s">
        <v>200</v>
      </c>
    </row>
    <row r="8" spans="1:2" x14ac:dyDescent="0.35">
      <c r="A8">
        <v>8</v>
      </c>
      <c r="B8" t="s">
        <v>201</v>
      </c>
    </row>
    <row r="9" spans="1:2" x14ac:dyDescent="0.35">
      <c r="A9">
        <v>9</v>
      </c>
      <c r="B9" t="s">
        <v>202</v>
      </c>
    </row>
    <row r="10" spans="1:2" x14ac:dyDescent="0.35">
      <c r="A10">
        <v>10</v>
      </c>
      <c r="B10" t="s">
        <v>203</v>
      </c>
    </row>
    <row r="11" spans="1:2" x14ac:dyDescent="0.35">
      <c r="A11">
        <v>11</v>
      </c>
      <c r="B11" t="s">
        <v>204</v>
      </c>
    </row>
    <row r="12" spans="1:2" x14ac:dyDescent="0.35">
      <c r="A12">
        <v>12</v>
      </c>
      <c r="B12" t="s">
        <v>205</v>
      </c>
    </row>
    <row r="13" spans="1:2" x14ac:dyDescent="0.35">
      <c r="A13">
        <v>13</v>
      </c>
      <c r="B13" t="s">
        <v>206</v>
      </c>
    </row>
    <row r="14" spans="1:2" x14ac:dyDescent="0.35">
      <c r="A14">
        <v>14</v>
      </c>
      <c r="B14" t="s">
        <v>207</v>
      </c>
    </row>
    <row r="15" spans="1:2" x14ac:dyDescent="0.35">
      <c r="A15">
        <v>15</v>
      </c>
      <c r="B15" t="s">
        <v>208</v>
      </c>
    </row>
    <row r="16" spans="1:2" x14ac:dyDescent="0.35">
      <c r="A16">
        <v>16</v>
      </c>
      <c r="B16" t="s">
        <v>209</v>
      </c>
    </row>
    <row r="17" spans="1:2" x14ac:dyDescent="0.35">
      <c r="A17">
        <v>17</v>
      </c>
      <c r="B17" t="s">
        <v>210</v>
      </c>
    </row>
    <row r="18" spans="1:2" x14ac:dyDescent="0.35">
      <c r="A18">
        <v>18</v>
      </c>
      <c r="B18" t="s">
        <v>211</v>
      </c>
    </row>
    <row r="19" spans="1:2" x14ac:dyDescent="0.35">
      <c r="A19">
        <v>19</v>
      </c>
      <c r="B19" t="s">
        <v>212</v>
      </c>
    </row>
    <row r="20" spans="1:2" x14ac:dyDescent="0.35">
      <c r="A20">
        <v>20</v>
      </c>
      <c r="B20" t="s">
        <v>213</v>
      </c>
    </row>
    <row r="21" spans="1:2" x14ac:dyDescent="0.35">
      <c r="A21">
        <v>21</v>
      </c>
      <c r="B21" t="s">
        <v>214</v>
      </c>
    </row>
    <row r="22" spans="1:2" x14ac:dyDescent="0.35">
      <c r="A22">
        <v>22</v>
      </c>
      <c r="B22" t="s">
        <v>215</v>
      </c>
    </row>
    <row r="23" spans="1:2" x14ac:dyDescent="0.35">
      <c r="A23">
        <v>23</v>
      </c>
      <c r="B23" t="s">
        <v>216</v>
      </c>
    </row>
    <row r="24" spans="1:2" x14ac:dyDescent="0.35">
      <c r="A24">
        <v>24</v>
      </c>
      <c r="B24" t="s">
        <v>217</v>
      </c>
    </row>
    <row r="25" spans="1:2" x14ac:dyDescent="0.35">
      <c r="A25">
        <v>25</v>
      </c>
      <c r="B25" t="s">
        <v>218</v>
      </c>
    </row>
    <row r="26" spans="1:2" x14ac:dyDescent="0.35">
      <c r="A26">
        <v>26</v>
      </c>
      <c r="B26" t="s">
        <v>219</v>
      </c>
    </row>
    <row r="27" spans="1:2" x14ac:dyDescent="0.35">
      <c r="A27">
        <v>27</v>
      </c>
      <c r="B27" t="s">
        <v>220</v>
      </c>
    </row>
    <row r="28" spans="1:2" x14ac:dyDescent="0.35">
      <c r="A28">
        <v>28</v>
      </c>
      <c r="B28" t="s">
        <v>221</v>
      </c>
    </row>
    <row r="29" spans="1:2" x14ac:dyDescent="0.35">
      <c r="A29">
        <v>29</v>
      </c>
      <c r="B29" t="s">
        <v>222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270</v>
      </c>
      <c r="J1" t="s">
        <v>271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275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244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272</v>
      </c>
      <c r="Q13" t="s">
        <v>273</v>
      </c>
      <c r="U13" t="s">
        <v>274</v>
      </c>
    </row>
    <row r="15" spans="1:24" x14ac:dyDescent="0.35">
      <c r="A15" t="s">
        <v>263</v>
      </c>
    </row>
    <row r="16" spans="1:24" x14ac:dyDescent="0.35">
      <c r="A16" t="s">
        <v>264</v>
      </c>
    </row>
    <row r="18" spans="1:1" x14ac:dyDescent="0.35">
      <c r="A18" t="s">
        <v>265</v>
      </c>
    </row>
    <row r="19" spans="1:1" x14ac:dyDescent="0.35">
      <c r="A19" t="s">
        <v>266</v>
      </c>
    </row>
    <row r="20" spans="1:1" x14ac:dyDescent="0.35">
      <c r="A20" t="s">
        <v>267</v>
      </c>
    </row>
    <row r="21" spans="1:1" x14ac:dyDescent="0.35">
      <c r="A21" t="s">
        <v>268</v>
      </c>
    </row>
    <row r="24" spans="1:1" x14ac:dyDescent="0.35">
      <c r="A24" t="s">
        <v>269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245</v>
      </c>
      <c r="B4" t="s">
        <v>245</v>
      </c>
      <c r="E4" t="s">
        <v>245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246</v>
      </c>
      <c r="B10" t="s">
        <v>246</v>
      </c>
      <c r="E10" t="s">
        <v>246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276</v>
      </c>
    </row>
    <row r="14" spans="1:6" x14ac:dyDescent="0.35">
      <c r="E14" t="s">
        <v>277</v>
      </c>
    </row>
    <row r="15" spans="1:6" x14ac:dyDescent="0.35">
      <c r="E15" t="s">
        <v>278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283</v>
      </c>
      <c r="C11" t="s">
        <v>284</v>
      </c>
      <c r="D11" t="s">
        <v>285</v>
      </c>
      <c r="E11" t="s">
        <v>286</v>
      </c>
    </row>
    <row r="12" spans="1:10" x14ac:dyDescent="0.35">
      <c r="A12" t="s">
        <v>279</v>
      </c>
      <c r="B12" t="s">
        <v>282</v>
      </c>
      <c r="H12" t="s">
        <v>287</v>
      </c>
      <c r="I12" t="s">
        <v>288</v>
      </c>
    </row>
    <row r="13" spans="1:10" x14ac:dyDescent="0.35">
      <c r="A13">
        <f ca="1">RAND()</f>
        <v>0.59180056482573717</v>
      </c>
      <c r="I13" t="s">
        <v>289</v>
      </c>
    </row>
    <row r="15" spans="1:10" x14ac:dyDescent="0.35">
      <c r="A15" t="s">
        <v>280</v>
      </c>
    </row>
    <row r="16" spans="1:10" x14ac:dyDescent="0.35">
      <c r="A16" s="13" t="s">
        <v>281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247</v>
      </c>
      <c r="K1" t="s">
        <v>56</v>
      </c>
      <c r="L1" t="s">
        <v>79</v>
      </c>
      <c r="N1" t="s">
        <v>56</v>
      </c>
      <c r="O1" t="s">
        <v>248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166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290</v>
      </c>
      <c r="C13" t="s">
        <v>291</v>
      </c>
      <c r="D13" t="s">
        <v>292</v>
      </c>
      <c r="E13" t="s">
        <v>293</v>
      </c>
    </row>
    <row r="14" spans="1:25" x14ac:dyDescent="0.35">
      <c r="B14" t="s">
        <v>294</v>
      </c>
      <c r="C14" t="s">
        <v>295</v>
      </c>
      <c r="D14" t="s">
        <v>296</v>
      </c>
      <c r="I14" t="s">
        <v>297</v>
      </c>
      <c r="J14" t="s">
        <v>298</v>
      </c>
      <c r="L14" t="s">
        <v>299</v>
      </c>
      <c r="O14" t="s">
        <v>300</v>
      </c>
      <c r="R14" t="s">
        <v>301</v>
      </c>
      <c r="S14" t="s">
        <v>302</v>
      </c>
      <c r="V14" t="s">
        <v>303</v>
      </c>
      <c r="Y14" t="s">
        <v>304</v>
      </c>
    </row>
    <row r="15" spans="1:25" x14ac:dyDescent="0.35">
      <c r="R15" t="s">
        <v>305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abSelected="1" zoomScale="98" zoomScaleNormal="98" workbookViewId="0"/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440</v>
      </c>
      <c r="B1" s="1" t="s">
        <v>0</v>
      </c>
      <c r="C1" s="1" t="s">
        <v>90</v>
      </c>
      <c r="D1" s="1" t="s">
        <v>91</v>
      </c>
      <c r="E1" s="1" t="s">
        <v>55</v>
      </c>
      <c r="F1" s="1" t="s">
        <v>92</v>
      </c>
      <c r="G1" s="2" t="s">
        <v>93</v>
      </c>
      <c r="H1" s="1" t="s">
        <v>261</v>
      </c>
    </row>
    <row r="2" spans="1:13" x14ac:dyDescent="0.35">
      <c r="A2">
        <v>1</v>
      </c>
      <c r="B2" t="s">
        <v>1</v>
      </c>
      <c r="C2" t="s">
        <v>94</v>
      </c>
      <c r="D2" t="s">
        <v>95</v>
      </c>
      <c r="E2" t="s">
        <v>96</v>
      </c>
      <c r="F2" t="s">
        <v>97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98</v>
      </c>
      <c r="D3" t="s">
        <v>99</v>
      </c>
      <c r="E3" t="s">
        <v>100</v>
      </c>
      <c r="F3" t="s">
        <v>101</v>
      </c>
      <c r="G3" s="3">
        <v>12000</v>
      </c>
      <c r="H3">
        <f t="shared" ref="H3:H21" si="0">RANK(G3,$G$2:$G$21,)</f>
        <v>3</v>
      </c>
      <c r="I3" t="s">
        <v>249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102</v>
      </c>
      <c r="E4" t="s">
        <v>100</v>
      </c>
      <c r="F4" t="s">
        <v>104</v>
      </c>
      <c r="G4" s="3">
        <v>11250</v>
      </c>
      <c r="H4">
        <f t="shared" si="0"/>
        <v>5</v>
      </c>
      <c r="I4" t="s">
        <v>250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105</v>
      </c>
      <c r="D5" t="s">
        <v>106</v>
      </c>
      <c r="E5" t="s">
        <v>107</v>
      </c>
      <c r="F5" t="s">
        <v>108</v>
      </c>
      <c r="G5" s="3">
        <v>12000</v>
      </c>
      <c r="H5">
        <f t="shared" si="0"/>
        <v>3</v>
      </c>
      <c r="I5" t="s">
        <v>251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99</v>
      </c>
      <c r="E6" t="s">
        <v>100</v>
      </c>
      <c r="F6" t="s">
        <v>97</v>
      </c>
      <c r="G6" s="3">
        <v>16250</v>
      </c>
      <c r="H6">
        <f t="shared" si="0"/>
        <v>1</v>
      </c>
      <c r="I6" t="s">
        <v>252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109</v>
      </c>
      <c r="D7" t="s">
        <v>110</v>
      </c>
      <c r="E7" t="s">
        <v>111</v>
      </c>
      <c r="F7" t="s">
        <v>101</v>
      </c>
      <c r="G7" s="3">
        <v>6400</v>
      </c>
      <c r="H7">
        <f t="shared" si="0"/>
        <v>13</v>
      </c>
      <c r="I7" t="s">
        <v>253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112</v>
      </c>
      <c r="D8" t="s">
        <v>113</v>
      </c>
      <c r="E8" t="s">
        <v>111</v>
      </c>
      <c r="F8" t="s">
        <v>104</v>
      </c>
      <c r="G8" s="3">
        <v>4500</v>
      </c>
      <c r="H8">
        <f t="shared" si="0"/>
        <v>19</v>
      </c>
      <c r="I8" t="s">
        <v>254</v>
      </c>
      <c r="J8">
        <f>COUNTA(D2:D21)</f>
        <v>19</v>
      </c>
      <c r="L8" t="s">
        <v>140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114</v>
      </c>
      <c r="D9" t="s">
        <v>113</v>
      </c>
      <c r="E9" t="s">
        <v>111</v>
      </c>
      <c r="F9" t="s">
        <v>108</v>
      </c>
      <c r="G9" s="3">
        <v>6275</v>
      </c>
      <c r="H9">
        <f t="shared" si="0"/>
        <v>15</v>
      </c>
      <c r="I9" t="s">
        <v>255</v>
      </c>
      <c r="J9">
        <f>COUNTBLANK(C2:C21)</f>
        <v>3</v>
      </c>
      <c r="L9" t="s">
        <v>141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115</v>
      </c>
      <c r="D10" t="s">
        <v>95</v>
      </c>
      <c r="E10" t="s">
        <v>96</v>
      </c>
      <c r="F10" t="s">
        <v>97</v>
      </c>
      <c r="G10" s="3">
        <v>6250</v>
      </c>
      <c r="H10">
        <f t="shared" si="0"/>
        <v>17</v>
      </c>
      <c r="I10" t="s">
        <v>256</v>
      </c>
      <c r="L10" t="s">
        <v>142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116</v>
      </c>
      <c r="E11" t="s">
        <v>107</v>
      </c>
      <c r="F11" t="s">
        <v>101</v>
      </c>
      <c r="G11" s="3">
        <v>8750</v>
      </c>
      <c r="H11">
        <f t="shared" si="0"/>
        <v>11</v>
      </c>
      <c r="I11" t="s">
        <v>256</v>
      </c>
    </row>
    <row r="12" spans="1:13" x14ac:dyDescent="0.35">
      <c r="A12">
        <v>11</v>
      </c>
      <c r="B12" t="s">
        <v>117</v>
      </c>
      <c r="C12" t="s">
        <v>118</v>
      </c>
      <c r="D12" t="s">
        <v>116</v>
      </c>
      <c r="E12" t="s">
        <v>107</v>
      </c>
      <c r="F12" t="s">
        <v>104</v>
      </c>
      <c r="G12" s="3">
        <v>11250</v>
      </c>
      <c r="H12">
        <f t="shared" si="0"/>
        <v>5</v>
      </c>
      <c r="I12" t="s">
        <v>256</v>
      </c>
    </row>
    <row r="13" spans="1:13" x14ac:dyDescent="0.35">
      <c r="A13">
        <v>12</v>
      </c>
      <c r="B13" t="s">
        <v>119</v>
      </c>
      <c r="C13" t="s">
        <v>120</v>
      </c>
      <c r="D13" t="s">
        <v>121</v>
      </c>
      <c r="E13" t="s">
        <v>107</v>
      </c>
      <c r="F13" t="s">
        <v>108</v>
      </c>
      <c r="G13" s="3">
        <v>10000</v>
      </c>
      <c r="H13">
        <f t="shared" si="0"/>
        <v>8</v>
      </c>
      <c r="I13" t="s">
        <v>257</v>
      </c>
    </row>
    <row r="14" spans="1:13" x14ac:dyDescent="0.35">
      <c r="A14">
        <v>13</v>
      </c>
      <c r="B14" t="s">
        <v>122</v>
      </c>
      <c r="C14" t="s">
        <v>98</v>
      </c>
      <c r="D14" t="s">
        <v>123</v>
      </c>
      <c r="E14" t="s">
        <v>107</v>
      </c>
      <c r="F14" t="s">
        <v>97</v>
      </c>
      <c r="G14" s="3">
        <v>16250</v>
      </c>
      <c r="H14">
        <f t="shared" si="0"/>
        <v>1</v>
      </c>
      <c r="I14" t="s">
        <v>258</v>
      </c>
    </row>
    <row r="15" spans="1:13" x14ac:dyDescent="0.35">
      <c r="A15">
        <v>14</v>
      </c>
      <c r="B15" t="s">
        <v>124</v>
      </c>
      <c r="C15" t="s">
        <v>102</v>
      </c>
      <c r="D15" t="s">
        <v>121</v>
      </c>
      <c r="E15" t="s">
        <v>107</v>
      </c>
      <c r="F15" t="s">
        <v>101</v>
      </c>
      <c r="G15" s="3">
        <v>6400</v>
      </c>
      <c r="H15">
        <f t="shared" si="0"/>
        <v>13</v>
      </c>
      <c r="I15" t="s">
        <v>256</v>
      </c>
      <c r="L15" t="s">
        <v>138</v>
      </c>
    </row>
    <row r="16" spans="1:13" x14ac:dyDescent="0.35">
      <c r="A16">
        <v>15</v>
      </c>
      <c r="B16" t="s">
        <v>125</v>
      </c>
      <c r="C16" t="s">
        <v>126</v>
      </c>
      <c r="D16" t="s">
        <v>99</v>
      </c>
      <c r="E16" t="s">
        <v>100</v>
      </c>
      <c r="F16" t="s">
        <v>104</v>
      </c>
      <c r="G16" s="3">
        <v>4500</v>
      </c>
      <c r="H16">
        <f t="shared" si="0"/>
        <v>19</v>
      </c>
      <c r="I16" t="s">
        <v>259</v>
      </c>
      <c r="L16" t="s">
        <v>262</v>
      </c>
    </row>
    <row r="17" spans="1:12" x14ac:dyDescent="0.35">
      <c r="A17">
        <v>16</v>
      </c>
      <c r="B17" t="s">
        <v>127</v>
      </c>
      <c r="D17" t="s">
        <v>121</v>
      </c>
      <c r="E17" t="s">
        <v>107</v>
      </c>
      <c r="F17" t="s">
        <v>108</v>
      </c>
      <c r="G17" s="3">
        <v>6275</v>
      </c>
      <c r="H17">
        <f t="shared" si="0"/>
        <v>15</v>
      </c>
      <c r="I17" t="s">
        <v>260</v>
      </c>
      <c r="L17" t="s">
        <v>139</v>
      </c>
    </row>
    <row r="18" spans="1:12" x14ac:dyDescent="0.35">
      <c r="A18">
        <v>17</v>
      </c>
      <c r="B18" t="s">
        <v>128</v>
      </c>
      <c r="C18" t="s">
        <v>129</v>
      </c>
      <c r="D18" t="s">
        <v>95</v>
      </c>
      <c r="E18" t="s">
        <v>96</v>
      </c>
      <c r="F18" t="s">
        <v>130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131</v>
      </c>
      <c r="C19" t="s">
        <v>132</v>
      </c>
      <c r="D19" t="s">
        <v>95</v>
      </c>
      <c r="E19" t="s">
        <v>96</v>
      </c>
      <c r="F19" t="s">
        <v>108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133</v>
      </c>
      <c r="C20" t="s">
        <v>134</v>
      </c>
      <c r="D20" t="s">
        <v>135</v>
      </c>
      <c r="E20" t="s">
        <v>96</v>
      </c>
      <c r="F20" t="s">
        <v>130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136</v>
      </c>
      <c r="C21" t="s">
        <v>137</v>
      </c>
      <c r="D21" t="s">
        <v>103</v>
      </c>
      <c r="E21" t="s">
        <v>100</v>
      </c>
      <c r="F21" t="s">
        <v>97</v>
      </c>
      <c r="G21" s="3">
        <v>10000</v>
      </c>
      <c r="H21">
        <f t="shared" si="0"/>
        <v>8</v>
      </c>
    </row>
    <row r="24" spans="1:12" x14ac:dyDescent="0.35">
      <c r="H24" t="s">
        <v>306</v>
      </c>
    </row>
    <row r="28" spans="1:12" x14ac:dyDescent="0.35">
      <c r="J28" t="s">
        <v>307</v>
      </c>
      <c r="K28" t="s">
        <v>308</v>
      </c>
      <c r="L28" t="s">
        <v>309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3AD662F0-FE57-4EEC-A99F-A5B4B8E67F0C}">
      <formula1>ISNUMBER(G2)</formula1>
    </dataValidation>
    <dataValidation type="custom" operator="greaterThanOrEqual" allowBlank="1" showInputMessage="1" showErrorMessage="1" sqref="G1" xr:uid="{7165D8F9-4347-45A9-A68A-512E5F69B77A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143</v>
      </c>
    </row>
    <row r="2" spans="1:10" x14ac:dyDescent="0.35">
      <c r="J2" s="4">
        <v>0.1</v>
      </c>
    </row>
    <row r="3" spans="1:10" x14ac:dyDescent="0.35">
      <c r="B3" s="13" t="s">
        <v>144</v>
      </c>
      <c r="C3" s="13"/>
      <c r="D3" s="13"/>
      <c r="F3" s="13" t="s">
        <v>145</v>
      </c>
      <c r="G3" s="13"/>
      <c r="H3" s="13"/>
      <c r="I3" s="13"/>
    </row>
    <row r="4" spans="1:10" x14ac:dyDescent="0.35">
      <c r="A4" t="s">
        <v>146</v>
      </c>
      <c r="B4" t="s">
        <v>147</v>
      </c>
      <c r="C4" t="s">
        <v>148</v>
      </c>
      <c r="D4" t="s">
        <v>149</v>
      </c>
      <c r="F4" t="s">
        <v>150</v>
      </c>
      <c r="G4" t="s">
        <v>151</v>
      </c>
      <c r="H4" t="s">
        <v>152</v>
      </c>
    </row>
    <row r="5" spans="1:10" x14ac:dyDescent="0.35">
      <c r="A5" t="s">
        <v>153</v>
      </c>
      <c r="B5">
        <v>23</v>
      </c>
      <c r="C5">
        <v>6.7</v>
      </c>
      <c r="D5">
        <f>B5*C5</f>
        <v>154.1</v>
      </c>
      <c r="F5" t="s">
        <v>154</v>
      </c>
      <c r="G5">
        <v>8900</v>
      </c>
      <c r="H5">
        <f>G5*$J$2</f>
        <v>890</v>
      </c>
    </row>
    <row r="6" spans="1:10" x14ac:dyDescent="0.35">
      <c r="A6" t="s">
        <v>155</v>
      </c>
      <c r="B6">
        <v>443</v>
      </c>
      <c r="C6">
        <v>4.5</v>
      </c>
      <c r="D6">
        <f t="shared" ref="D6:D11" si="0">B6*C6</f>
        <v>1993.5</v>
      </c>
      <c r="E6" s="5"/>
      <c r="F6" t="s">
        <v>156</v>
      </c>
      <c r="G6">
        <v>45000</v>
      </c>
      <c r="H6">
        <f t="shared" ref="H6:H10" si="1">G6*$J$2</f>
        <v>4500</v>
      </c>
    </row>
    <row r="7" spans="1:10" x14ac:dyDescent="0.35">
      <c r="A7" t="s">
        <v>157</v>
      </c>
      <c r="B7">
        <v>454</v>
      </c>
      <c r="C7">
        <v>6.7</v>
      </c>
      <c r="D7">
        <f t="shared" si="0"/>
        <v>3041.8</v>
      </c>
      <c r="F7" t="s">
        <v>158</v>
      </c>
      <c r="G7">
        <v>34005</v>
      </c>
      <c r="H7">
        <f t="shared" si="1"/>
        <v>3400.5</v>
      </c>
    </row>
    <row r="8" spans="1:10" x14ac:dyDescent="0.35">
      <c r="A8" t="s">
        <v>159</v>
      </c>
      <c r="B8">
        <v>65</v>
      </c>
      <c r="C8">
        <v>8.1999999999999993</v>
      </c>
      <c r="D8">
        <f t="shared" si="0"/>
        <v>533</v>
      </c>
      <c r="F8" t="s">
        <v>160</v>
      </c>
      <c r="G8">
        <v>23900</v>
      </c>
      <c r="H8">
        <f t="shared" si="1"/>
        <v>2390</v>
      </c>
    </row>
    <row r="9" spans="1:10" x14ac:dyDescent="0.35">
      <c r="A9" t="s">
        <v>161</v>
      </c>
      <c r="B9">
        <v>34</v>
      </c>
      <c r="C9">
        <v>5.5</v>
      </c>
      <c r="D9">
        <f t="shared" si="0"/>
        <v>187</v>
      </c>
      <c r="E9" s="5"/>
      <c r="F9" t="s">
        <v>162</v>
      </c>
      <c r="G9">
        <v>32000</v>
      </c>
      <c r="H9">
        <f t="shared" si="1"/>
        <v>3200</v>
      </c>
    </row>
    <row r="10" spans="1:10" x14ac:dyDescent="0.35">
      <c r="A10" t="s">
        <v>163</v>
      </c>
      <c r="B10">
        <v>45</v>
      </c>
      <c r="C10">
        <v>3.8</v>
      </c>
      <c r="D10">
        <f t="shared" si="0"/>
        <v>171</v>
      </c>
      <c r="F10" t="s">
        <v>164</v>
      </c>
      <c r="G10">
        <v>12000</v>
      </c>
      <c r="H10">
        <f t="shared" si="1"/>
        <v>1200</v>
      </c>
    </row>
    <row r="11" spans="1:10" x14ac:dyDescent="0.35">
      <c r="A11" t="s">
        <v>165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310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311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93</v>
      </c>
    </row>
    <row r="2" spans="1:9" x14ac:dyDescent="0.35">
      <c r="A2" t="s">
        <v>2</v>
      </c>
      <c r="B2">
        <v>10000</v>
      </c>
    </row>
    <row r="3" spans="1:9" x14ac:dyDescent="0.35">
      <c r="A3" t="s">
        <v>131</v>
      </c>
      <c r="B3">
        <v>12000</v>
      </c>
      <c r="E3" t="s">
        <v>167</v>
      </c>
      <c r="F3">
        <f>SUM(salary)</f>
        <v>131175</v>
      </c>
    </row>
    <row r="4" spans="1:9" x14ac:dyDescent="0.35">
      <c r="A4" t="s">
        <v>122</v>
      </c>
      <c r="B4">
        <v>11250</v>
      </c>
      <c r="E4" t="s">
        <v>168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169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170</v>
      </c>
      <c r="F6">
        <f>MIN(salary)</f>
        <v>4500</v>
      </c>
    </row>
    <row r="7" spans="1:9" x14ac:dyDescent="0.35">
      <c r="A7" t="s">
        <v>124</v>
      </c>
      <c r="B7">
        <v>6400</v>
      </c>
      <c r="E7" t="s">
        <v>171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136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125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312</v>
      </c>
    </row>
    <row r="16" spans="1:9" x14ac:dyDescent="0.35">
      <c r="D16" t="s">
        <v>313</v>
      </c>
    </row>
    <row r="17" spans="4:6" x14ac:dyDescent="0.35">
      <c r="D17" t="s">
        <v>314</v>
      </c>
    </row>
    <row r="18" spans="4:6" x14ac:dyDescent="0.35">
      <c r="D18" t="s">
        <v>315</v>
      </c>
    </row>
    <row r="19" spans="4:6" x14ac:dyDescent="0.35">
      <c r="D19" t="s">
        <v>316</v>
      </c>
    </row>
    <row r="20" spans="4:6" x14ac:dyDescent="0.35">
      <c r="D20" t="s">
        <v>317</v>
      </c>
    </row>
    <row r="21" spans="4:6" x14ac:dyDescent="0.35">
      <c r="D21" t="s">
        <v>321</v>
      </c>
    </row>
    <row r="22" spans="4:6" x14ac:dyDescent="0.35">
      <c r="D22" t="s">
        <v>322</v>
      </c>
    </row>
    <row r="23" spans="4:6" x14ac:dyDescent="0.35">
      <c r="D23" t="s">
        <v>323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177</v>
      </c>
      <c r="E1" t="s">
        <v>179</v>
      </c>
      <c r="F1" t="s">
        <v>180</v>
      </c>
      <c r="G1" t="s">
        <v>181</v>
      </c>
    </row>
    <row r="2" spans="1:7" x14ac:dyDescent="0.35">
      <c r="A2" t="s">
        <v>178</v>
      </c>
      <c r="B2" t="s">
        <v>172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177</v>
      </c>
      <c r="B3" t="s">
        <v>173</v>
      </c>
      <c r="C3" s="12">
        <v>0.4909722222222222</v>
      </c>
    </row>
    <row r="4" spans="1:7" x14ac:dyDescent="0.35">
      <c r="A4" t="s">
        <v>174</v>
      </c>
      <c r="B4" t="s">
        <v>318</v>
      </c>
      <c r="C4" s="5">
        <f ca="1">TODAY()</f>
        <v>46183</v>
      </c>
      <c r="D4" s="5"/>
    </row>
    <row r="5" spans="1:7" x14ac:dyDescent="0.35">
      <c r="A5" t="s">
        <v>175</v>
      </c>
      <c r="B5" t="s">
        <v>319</v>
      </c>
      <c r="C5" s="6">
        <f ca="1">NOW()</f>
        <v>46183.757816550926</v>
      </c>
      <c r="D5" s="6"/>
    </row>
    <row r="6" spans="1:7" x14ac:dyDescent="0.35">
      <c r="A6" t="s">
        <v>176</v>
      </c>
      <c r="B6" t="s">
        <v>320</v>
      </c>
      <c r="C6" s="7">
        <f ca="1">NOW()-TODAY()</f>
        <v>0.75781655092578148</v>
      </c>
      <c r="D6" t="s">
        <v>179</v>
      </c>
      <c r="E6" t="s">
        <v>180</v>
      </c>
      <c r="F6" t="s">
        <v>181</v>
      </c>
      <c r="G6" t="s">
        <v>177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178</v>
      </c>
      <c r="E10" t="s">
        <v>192</v>
      </c>
      <c r="F10" t="s">
        <v>193</v>
      </c>
    </row>
    <row r="11" spans="1:7" x14ac:dyDescent="0.35">
      <c r="D11" s="5">
        <f ca="1">TODAY()</f>
        <v>46183</v>
      </c>
      <c r="E11">
        <f ca="1">WEEKDAY(D11)</f>
        <v>4</v>
      </c>
      <c r="F11">
        <f ca="1">WEEKNUM(D11)</f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opLeftCell="H1" zoomScaleNormal="100" workbookViewId="0">
      <selection activeCell="N12" sqref="N12: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236</v>
      </c>
      <c r="B1" t="s">
        <v>242</v>
      </c>
      <c r="C1" t="s">
        <v>237</v>
      </c>
      <c r="D1" t="s">
        <v>243</v>
      </c>
      <c r="E1" t="s">
        <v>238</v>
      </c>
      <c r="F1" t="s">
        <v>239</v>
      </c>
      <c r="G1" t="s">
        <v>240</v>
      </c>
      <c r="H1" t="s">
        <v>192</v>
      </c>
      <c r="J1" t="s">
        <v>241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46183</v>
      </c>
      <c r="H2" s="5">
        <f ca="1">TODAY()</f>
        <v>46183</v>
      </c>
      <c r="J2" t="s">
        <v>336</v>
      </c>
      <c r="L2" t="s">
        <v>343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337</v>
      </c>
      <c r="L3" t="s">
        <v>344</v>
      </c>
      <c r="N3" t="s">
        <v>355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338</v>
      </c>
      <c r="L4" t="s">
        <v>345</v>
      </c>
      <c r="N4" t="s">
        <v>356</v>
      </c>
      <c r="O4" t="s">
        <v>355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339</v>
      </c>
      <c r="L5" t="s">
        <v>346</v>
      </c>
      <c r="N5" t="s">
        <v>357</v>
      </c>
      <c r="O5" t="s">
        <v>356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340</v>
      </c>
      <c r="L6" t="s">
        <v>347</v>
      </c>
      <c r="N6" t="s">
        <v>360</v>
      </c>
      <c r="O6" t="s">
        <v>357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341</v>
      </c>
      <c r="L7" t="s">
        <v>348</v>
      </c>
      <c r="N7" t="s">
        <v>361</v>
      </c>
      <c r="O7" t="s">
        <v>360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342</v>
      </c>
      <c r="L8" t="s">
        <v>349</v>
      </c>
      <c r="N8" t="s">
        <v>358</v>
      </c>
      <c r="O8" t="s">
        <v>361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336</v>
      </c>
      <c r="L9" t="s">
        <v>350</v>
      </c>
      <c r="N9" t="s">
        <v>359</v>
      </c>
      <c r="O9" t="s">
        <v>358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337</v>
      </c>
      <c r="L10" t="s">
        <v>351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338</v>
      </c>
      <c r="L11" t="s">
        <v>352</v>
      </c>
    </row>
    <row r="12" spans="1:15" x14ac:dyDescent="0.35">
      <c r="L12" t="s">
        <v>353</v>
      </c>
      <c r="N12" t="s">
        <v>364</v>
      </c>
    </row>
    <row r="13" spans="1:15" x14ac:dyDescent="0.35">
      <c r="B13" t="s">
        <v>324</v>
      </c>
      <c r="L13" t="s">
        <v>354</v>
      </c>
      <c r="N13" t="s">
        <v>365</v>
      </c>
    </row>
    <row r="14" spans="1:15" x14ac:dyDescent="0.35">
      <c r="B14" t="s">
        <v>325</v>
      </c>
      <c r="N14" t="s">
        <v>366</v>
      </c>
    </row>
    <row r="15" spans="1:15" x14ac:dyDescent="0.35">
      <c r="B15" t="s">
        <v>326</v>
      </c>
      <c r="D15" t="s">
        <v>328</v>
      </c>
      <c r="E15" t="s">
        <v>331</v>
      </c>
      <c r="F15" t="s">
        <v>331</v>
      </c>
      <c r="G15" t="s">
        <v>331</v>
      </c>
      <c r="H15" t="s">
        <v>331</v>
      </c>
      <c r="J15" t="s">
        <v>362</v>
      </c>
      <c r="N15" t="s">
        <v>367</v>
      </c>
    </row>
    <row r="16" spans="1:15" x14ac:dyDescent="0.35">
      <c r="B16" t="s">
        <v>330</v>
      </c>
      <c r="D16" t="s">
        <v>329</v>
      </c>
      <c r="E16" t="s">
        <v>329</v>
      </c>
      <c r="F16" t="s">
        <v>332</v>
      </c>
      <c r="G16" t="s">
        <v>333</v>
      </c>
      <c r="H16" t="s">
        <v>335</v>
      </c>
      <c r="J16" t="s">
        <v>363</v>
      </c>
      <c r="N16" t="s">
        <v>434</v>
      </c>
    </row>
    <row r="17" spans="2:14" x14ac:dyDescent="0.35">
      <c r="B17" t="s">
        <v>327</v>
      </c>
      <c r="F17" t="s">
        <v>334</v>
      </c>
      <c r="G17" t="s">
        <v>334</v>
      </c>
      <c r="H17" t="s">
        <v>334</v>
      </c>
      <c r="N17" t="s">
        <v>435</v>
      </c>
    </row>
    <row r="18" spans="2:14" x14ac:dyDescent="0.35">
      <c r="B18" t="s">
        <v>321</v>
      </c>
      <c r="D18" t="s">
        <v>321</v>
      </c>
      <c r="F18" t="s">
        <v>321</v>
      </c>
      <c r="H18" t="s">
        <v>321</v>
      </c>
      <c r="N18" t="s">
        <v>436</v>
      </c>
    </row>
    <row r="19" spans="2:14" x14ac:dyDescent="0.35">
      <c r="N19" t="s">
        <v>411</v>
      </c>
    </row>
    <row r="20" spans="2:14" x14ac:dyDescent="0.35">
      <c r="N20" t="s">
        <v>437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182</v>
      </c>
      <c r="B1" t="s">
        <v>183</v>
      </c>
      <c r="C1" t="s">
        <v>187</v>
      </c>
      <c r="D1" t="s">
        <v>184</v>
      </c>
      <c r="E1" t="s">
        <v>185</v>
      </c>
      <c r="F1" t="s">
        <v>186</v>
      </c>
      <c r="G1" t="s">
        <v>188</v>
      </c>
      <c r="H1" t="s">
        <v>191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46183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189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190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7"/>
  <sheetViews>
    <sheetView zoomScale="123" zoomScaleNormal="200" workbookViewId="0">
      <selection activeCell="H14" sqref="H14"/>
    </sheetView>
  </sheetViews>
  <sheetFormatPr defaultRowHeight="14.5" x14ac:dyDescent="0.35"/>
  <cols>
    <col min="1" max="1" width="37.6328125" bestFit="1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182</v>
      </c>
      <c r="F1" s="1" t="s">
        <v>0</v>
      </c>
    </row>
    <row r="2" spans="1:8" x14ac:dyDescent="0.35">
      <c r="A2" t="s">
        <v>223</v>
      </c>
      <c r="B2" t="s">
        <v>368</v>
      </c>
      <c r="C2">
        <v>5</v>
      </c>
      <c r="D2" t="s">
        <v>369</v>
      </c>
      <c r="E2">
        <v>8562</v>
      </c>
      <c r="F2" t="s">
        <v>22</v>
      </c>
      <c r="G2" t="s">
        <v>23</v>
      </c>
    </row>
    <row r="3" spans="1:8" x14ac:dyDescent="0.35">
      <c r="A3" t="s">
        <v>230</v>
      </c>
      <c r="B3" t="s">
        <v>370</v>
      </c>
      <c r="C3">
        <v>5</v>
      </c>
      <c r="D3" t="s">
        <v>371</v>
      </c>
      <c r="E3">
        <v>9845</v>
      </c>
      <c r="F3" t="s">
        <v>24</v>
      </c>
      <c r="G3" t="s">
        <v>390</v>
      </c>
    </row>
    <row r="4" spans="1:8" x14ac:dyDescent="0.35">
      <c r="A4" t="s">
        <v>224</v>
      </c>
      <c r="B4" t="s">
        <v>372</v>
      </c>
      <c r="C4">
        <v>10</v>
      </c>
      <c r="D4" t="s">
        <v>373</v>
      </c>
      <c r="E4">
        <v>9878</v>
      </c>
      <c r="F4" t="s">
        <v>395</v>
      </c>
      <c r="G4" t="s">
        <v>396</v>
      </c>
    </row>
    <row r="5" spans="1:8" x14ac:dyDescent="0.35">
      <c r="A5" t="s">
        <v>225</v>
      </c>
      <c r="B5" t="s">
        <v>371</v>
      </c>
      <c r="C5">
        <v>10</v>
      </c>
      <c r="D5" t="s">
        <v>374</v>
      </c>
      <c r="E5">
        <v>2378</v>
      </c>
      <c r="F5" t="s">
        <v>28</v>
      </c>
      <c r="G5" t="s">
        <v>29</v>
      </c>
      <c r="H5" t="s">
        <v>391</v>
      </c>
    </row>
    <row r="6" spans="1:8" x14ac:dyDescent="0.35">
      <c r="A6" t="s">
        <v>226</v>
      </c>
      <c r="B6" t="s">
        <v>375</v>
      </c>
      <c r="C6">
        <v>4</v>
      </c>
      <c r="D6" t="s">
        <v>376</v>
      </c>
      <c r="E6">
        <v>9567</v>
      </c>
      <c r="F6" s="9" t="s">
        <v>30</v>
      </c>
      <c r="G6" t="s">
        <v>392</v>
      </c>
    </row>
    <row r="7" spans="1:8" x14ac:dyDescent="0.35">
      <c r="A7" t="s">
        <v>227</v>
      </c>
      <c r="B7" t="s">
        <v>377</v>
      </c>
      <c r="C7">
        <v>7</v>
      </c>
      <c r="D7" t="s">
        <v>378</v>
      </c>
      <c r="E7">
        <v>8923</v>
      </c>
      <c r="F7" t="s">
        <v>32</v>
      </c>
      <c r="G7" t="s">
        <v>33</v>
      </c>
    </row>
    <row r="8" spans="1:8" x14ac:dyDescent="0.35">
      <c r="A8" t="s">
        <v>228</v>
      </c>
      <c r="B8" t="s">
        <v>379</v>
      </c>
      <c r="C8">
        <v>11</v>
      </c>
      <c r="D8" t="s">
        <v>380</v>
      </c>
      <c r="E8">
        <v>5679</v>
      </c>
      <c r="F8" t="s">
        <v>34</v>
      </c>
      <c r="G8" t="s">
        <v>35</v>
      </c>
    </row>
    <row r="9" spans="1:8" x14ac:dyDescent="0.35">
      <c r="A9" t="s">
        <v>229</v>
      </c>
      <c r="B9" t="s">
        <v>381</v>
      </c>
      <c r="C9">
        <v>9</v>
      </c>
      <c r="D9" t="s">
        <v>378</v>
      </c>
      <c r="E9">
        <v>7453</v>
      </c>
      <c r="F9" t="s">
        <v>36</v>
      </c>
      <c r="G9" t="s">
        <v>37</v>
      </c>
    </row>
    <row r="10" spans="1:8" x14ac:dyDescent="0.35">
      <c r="A10" t="s">
        <v>231</v>
      </c>
      <c r="B10" t="s">
        <v>382</v>
      </c>
      <c r="C10">
        <v>6</v>
      </c>
      <c r="D10" t="s">
        <v>383</v>
      </c>
      <c r="E10">
        <v>4598</v>
      </c>
      <c r="F10" t="s">
        <v>38</v>
      </c>
      <c r="G10" t="s">
        <v>39</v>
      </c>
    </row>
    <row r="11" spans="1:8" x14ac:dyDescent="0.35">
      <c r="A11" t="s">
        <v>232</v>
      </c>
      <c r="B11" t="s">
        <v>384</v>
      </c>
      <c r="C11">
        <v>3</v>
      </c>
      <c r="D11" t="s">
        <v>385</v>
      </c>
      <c r="E11">
        <v>8345</v>
      </c>
      <c r="F11" t="s">
        <v>38</v>
      </c>
      <c r="G11" t="s">
        <v>40</v>
      </c>
    </row>
    <row r="12" spans="1:8" x14ac:dyDescent="0.35">
      <c r="A12" t="s">
        <v>233</v>
      </c>
      <c r="B12" t="s">
        <v>386</v>
      </c>
      <c r="C12">
        <v>5</v>
      </c>
      <c r="D12" t="s">
        <v>371</v>
      </c>
      <c r="E12">
        <v>3456</v>
      </c>
      <c r="F12" t="s">
        <v>397</v>
      </c>
      <c r="G12" t="s">
        <v>398</v>
      </c>
    </row>
    <row r="15" spans="1:8" x14ac:dyDescent="0.35">
      <c r="A15" t="s">
        <v>387</v>
      </c>
    </row>
    <row r="16" spans="1:8" x14ac:dyDescent="0.35">
      <c r="A16" t="s">
        <v>388</v>
      </c>
    </row>
    <row r="17" spans="1:5" x14ac:dyDescent="0.35">
      <c r="A17" t="s">
        <v>389</v>
      </c>
    </row>
    <row r="18" spans="1:5" x14ac:dyDescent="0.35">
      <c r="A18" t="s">
        <v>393</v>
      </c>
    </row>
    <row r="19" spans="1:5" x14ac:dyDescent="0.35">
      <c r="A19" t="s">
        <v>394</v>
      </c>
    </row>
    <row r="20" spans="1:5" x14ac:dyDescent="0.35">
      <c r="A20" t="s">
        <v>410</v>
      </c>
    </row>
    <row r="21" spans="1:5" x14ac:dyDescent="0.35">
      <c r="A21" t="s">
        <v>412</v>
      </c>
    </row>
    <row r="22" spans="1:5" x14ac:dyDescent="0.35">
      <c r="A22" t="s">
        <v>411</v>
      </c>
    </row>
    <row r="23" spans="1:5" x14ac:dyDescent="0.35">
      <c r="A23" t="s">
        <v>411</v>
      </c>
    </row>
    <row r="24" spans="1:5" x14ac:dyDescent="0.35">
      <c r="A24" t="s">
        <v>438</v>
      </c>
    </row>
    <row r="25" spans="1:5" x14ac:dyDescent="0.35">
      <c r="A25" t="s">
        <v>439</v>
      </c>
    </row>
    <row r="27" spans="1:5" x14ac:dyDescent="0.35">
      <c r="A27" t="s">
        <v>399</v>
      </c>
      <c r="B27" t="s">
        <v>368</v>
      </c>
      <c r="C27">
        <v>5</v>
      </c>
      <c r="D27" t="s">
        <v>369</v>
      </c>
      <c r="E27">
        <v>8562</v>
      </c>
    </row>
    <row r="28" spans="1:5" x14ac:dyDescent="0.35">
      <c r="A28" t="s">
        <v>400</v>
      </c>
      <c r="B28" t="s">
        <v>370</v>
      </c>
      <c r="C28">
        <v>5</v>
      </c>
      <c r="D28" t="s">
        <v>371</v>
      </c>
      <c r="E28">
        <v>9845</v>
      </c>
    </row>
    <row r="29" spans="1:5" x14ac:dyDescent="0.35">
      <c r="A29" t="s">
        <v>401</v>
      </c>
      <c r="B29" t="s">
        <v>372</v>
      </c>
      <c r="C29">
        <v>10</v>
      </c>
      <c r="D29" t="s">
        <v>373</v>
      </c>
      <c r="E29">
        <v>9878</v>
      </c>
    </row>
    <row r="30" spans="1:5" x14ac:dyDescent="0.35">
      <c r="A30" t="s">
        <v>402</v>
      </c>
      <c r="B30" t="s">
        <v>371</v>
      </c>
      <c r="C30">
        <v>10</v>
      </c>
      <c r="D30" t="s">
        <v>374</v>
      </c>
      <c r="E30">
        <v>2378</v>
      </c>
    </row>
    <row r="31" spans="1:5" x14ac:dyDescent="0.35">
      <c r="A31" t="s">
        <v>403</v>
      </c>
      <c r="B31" t="s">
        <v>375</v>
      </c>
      <c r="C31">
        <v>4</v>
      </c>
      <c r="D31" t="s">
        <v>376</v>
      </c>
      <c r="E31">
        <v>9567</v>
      </c>
    </row>
    <row r="32" spans="1:5" x14ac:dyDescent="0.35">
      <c r="A32" t="s">
        <v>404</v>
      </c>
      <c r="B32" t="s">
        <v>377</v>
      </c>
      <c r="C32">
        <v>7</v>
      </c>
      <c r="D32" t="s">
        <v>378</v>
      </c>
      <c r="E32">
        <v>8923</v>
      </c>
    </row>
    <row r="33" spans="1:5" x14ac:dyDescent="0.35">
      <c r="A33" t="s">
        <v>405</v>
      </c>
      <c r="B33" t="s">
        <v>379</v>
      </c>
      <c r="C33">
        <v>11</v>
      </c>
      <c r="D33" t="s">
        <v>380</v>
      </c>
      <c r="E33">
        <v>5679</v>
      </c>
    </row>
    <row r="34" spans="1:5" x14ac:dyDescent="0.35">
      <c r="A34" t="s">
        <v>406</v>
      </c>
      <c r="B34" t="s">
        <v>381</v>
      </c>
      <c r="C34">
        <v>9</v>
      </c>
      <c r="D34" t="s">
        <v>378</v>
      </c>
      <c r="E34">
        <v>7453</v>
      </c>
    </row>
    <row r="35" spans="1:5" x14ac:dyDescent="0.35">
      <c r="A35" t="s">
        <v>407</v>
      </c>
      <c r="B35" t="s">
        <v>382</v>
      </c>
      <c r="C35">
        <v>6</v>
      </c>
      <c r="D35" t="s">
        <v>383</v>
      </c>
      <c r="E35">
        <v>4598</v>
      </c>
    </row>
    <row r="36" spans="1:5" x14ac:dyDescent="0.35">
      <c r="A36" t="s">
        <v>408</v>
      </c>
      <c r="B36" t="s">
        <v>384</v>
      </c>
      <c r="C36">
        <v>3</v>
      </c>
      <c r="D36" t="s">
        <v>385</v>
      </c>
      <c r="E36">
        <v>8345</v>
      </c>
    </row>
    <row r="37" spans="1:5" x14ac:dyDescent="0.35">
      <c r="A37" t="s">
        <v>409</v>
      </c>
      <c r="B37" t="s">
        <v>386</v>
      </c>
      <c r="C37">
        <v>5</v>
      </c>
      <c r="D37" t="s">
        <v>371</v>
      </c>
      <c r="E37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234</v>
      </c>
      <c r="D1" s="1" t="s">
        <v>235</v>
      </c>
      <c r="E1" s="1"/>
      <c r="F1" s="1"/>
    </row>
    <row r="2" spans="1:6" x14ac:dyDescent="0.35">
      <c r="A2" t="s">
        <v>22</v>
      </c>
      <c r="B2" t="s">
        <v>23</v>
      </c>
      <c r="C2" t="s">
        <v>413</v>
      </c>
      <c r="D2" s="11" t="s">
        <v>424</v>
      </c>
      <c r="E2" s="11" t="s">
        <v>423</v>
      </c>
      <c r="F2" s="11"/>
    </row>
    <row r="3" spans="1:6" x14ac:dyDescent="0.35">
      <c r="A3" t="s">
        <v>24</v>
      </c>
      <c r="B3" t="s">
        <v>25</v>
      </c>
      <c r="C3" t="s">
        <v>414</v>
      </c>
      <c r="D3" s="11" t="s">
        <v>425</v>
      </c>
      <c r="E3" s="11"/>
      <c r="F3" s="11"/>
    </row>
    <row r="4" spans="1:6" x14ac:dyDescent="0.35">
      <c r="A4" t="s">
        <v>26</v>
      </c>
      <c r="B4" t="s">
        <v>27</v>
      </c>
      <c r="C4" t="s">
        <v>415</v>
      </c>
      <c r="D4" s="11" t="s">
        <v>426</v>
      </c>
      <c r="E4" s="11"/>
      <c r="F4" s="11"/>
    </row>
    <row r="5" spans="1:6" x14ac:dyDescent="0.35">
      <c r="A5" t="s">
        <v>28</v>
      </c>
      <c r="B5" t="s">
        <v>29</v>
      </c>
      <c r="C5" t="s">
        <v>416</v>
      </c>
      <c r="D5" s="11" t="s">
        <v>427</v>
      </c>
      <c r="E5" s="11"/>
      <c r="F5" s="11"/>
    </row>
    <row r="6" spans="1:6" x14ac:dyDescent="0.35">
      <c r="A6" t="s">
        <v>30</v>
      </c>
      <c r="B6" t="s">
        <v>31</v>
      </c>
      <c r="C6" t="s">
        <v>417</v>
      </c>
      <c r="D6" s="11" t="s">
        <v>428</v>
      </c>
      <c r="E6" s="11"/>
      <c r="F6" s="11"/>
    </row>
    <row r="7" spans="1:6" x14ac:dyDescent="0.35">
      <c r="A7" t="s">
        <v>32</v>
      </c>
      <c r="B7" t="s">
        <v>33</v>
      </c>
      <c r="C7" t="s">
        <v>418</v>
      </c>
      <c r="D7" s="11" t="s">
        <v>429</v>
      </c>
      <c r="E7" s="11"/>
      <c r="F7" s="11"/>
    </row>
    <row r="8" spans="1:6" x14ac:dyDescent="0.35">
      <c r="A8" t="s">
        <v>34</v>
      </c>
      <c r="B8" t="s">
        <v>35</v>
      </c>
      <c r="C8" t="s">
        <v>419</v>
      </c>
      <c r="D8" s="11" t="s">
        <v>430</v>
      </c>
      <c r="E8" s="11"/>
      <c r="F8" s="11"/>
    </row>
    <row r="9" spans="1:6" x14ac:dyDescent="0.35">
      <c r="A9" t="s">
        <v>36</v>
      </c>
      <c r="B9" t="s">
        <v>37</v>
      </c>
      <c r="C9" t="s">
        <v>420</v>
      </c>
      <c r="D9" s="11" t="s">
        <v>431</v>
      </c>
      <c r="E9" s="11"/>
      <c r="F9" s="11"/>
    </row>
    <row r="10" spans="1:6" x14ac:dyDescent="0.35">
      <c r="A10" t="s">
        <v>38</v>
      </c>
      <c r="B10" t="s">
        <v>39</v>
      </c>
      <c r="C10" t="s">
        <v>421</v>
      </c>
      <c r="D10" s="11" t="s">
        <v>432</v>
      </c>
      <c r="E10" s="11"/>
      <c r="F10" s="11"/>
    </row>
    <row r="11" spans="1:6" x14ac:dyDescent="0.35">
      <c r="A11" t="s">
        <v>38</v>
      </c>
      <c r="B11" t="s">
        <v>40</v>
      </c>
      <c r="C11" t="s">
        <v>422</v>
      </c>
      <c r="D11" s="11" t="s">
        <v>433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2026-06-10T12:41:15Z</dcterms:modified>
</cp:coreProperties>
</file>