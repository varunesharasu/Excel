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Besant\Excel\Basic Operations\"/>
    </mc:Choice>
  </mc:AlternateContent>
  <xr:revisionPtr revIDLastSave="0" documentId="13_ncr:1_{01F6F073-2BA0-4210-893F-0D031E6574E1}" xr6:coauthVersionLast="47" xr6:coauthVersionMax="47" xr10:uidLastSave="{00000000-0000-0000-0000-000000000000}"/>
  <bookViews>
    <workbookView xWindow="-110" yWindow="-110" windowWidth="19420" windowHeight="11020" tabRatio="955" firstSheet="6" activeTab="14" xr2:uid="{804A284F-30AB-4AA4-80D9-3863464D9C5B}"/>
  </bookViews>
  <sheets>
    <sheet name="Introduction" sheetId="13" r:id="rId1"/>
    <sheet name="Day-1" sheetId="1" r:id="rId2"/>
    <sheet name="Transpose" sheetId="2" r:id="rId3"/>
    <sheet name="Paste Link" sheetId="3" r:id="rId4"/>
    <sheet name="Paste Special Operations" sheetId="5" r:id="rId5"/>
    <sheet name="Math &amp; Trigo" sheetId="6" r:id="rId6"/>
    <sheet name="IFS Functions" sheetId="7" r:id="rId7"/>
    <sheet name="Referencing" sheetId="8" r:id="rId8"/>
    <sheet name="Mixed Referencing" sheetId="9" r:id="rId9"/>
    <sheet name="Naming Range" sheetId="10" r:id="rId10"/>
    <sheet name="Date &amp; Time" sheetId="11" r:id="rId11"/>
    <sheet name="Fill Series" sheetId="16" r:id="rId12"/>
    <sheet name="Information" sheetId="12" r:id="rId13"/>
    <sheet name="Text To Dolumn" sheetId="14" r:id="rId14"/>
    <sheet name="Flash Fill" sheetId="15" r:id="rId15"/>
  </sheets>
  <definedNames>
    <definedName name="salary">'Naming Range'!$B$2:$B$14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6" l="1"/>
  <c r="G2" i="16"/>
  <c r="C4" i="16"/>
  <c r="C5" i="16"/>
  <c r="C6" i="16"/>
  <c r="C7" i="16"/>
  <c r="C8" i="16"/>
  <c r="C9" i="16"/>
  <c r="C10" i="16"/>
  <c r="C11" i="16"/>
  <c r="C3" i="16"/>
  <c r="G3" i="12"/>
  <c r="G4" i="12"/>
  <c r="G5" i="12"/>
  <c r="G6" i="12"/>
  <c r="G7" i="12"/>
  <c r="G8" i="12"/>
  <c r="G9" i="12"/>
  <c r="G10" i="12"/>
  <c r="G11" i="12"/>
  <c r="G12" i="12"/>
  <c r="G13" i="12"/>
  <c r="G14" i="12"/>
  <c r="G2" i="12"/>
  <c r="H3" i="12"/>
  <c r="H4" i="12"/>
  <c r="H5" i="12"/>
  <c r="H7" i="12"/>
  <c r="H8" i="12"/>
  <c r="H9" i="12"/>
  <c r="H10" i="12"/>
  <c r="H11" i="12"/>
  <c r="H12" i="12"/>
  <c r="H13" i="12"/>
  <c r="H14" i="12"/>
  <c r="H2" i="12"/>
  <c r="F3" i="12"/>
  <c r="F4" i="12"/>
  <c r="F5" i="12"/>
  <c r="F7" i="12"/>
  <c r="F8" i="12"/>
  <c r="F9" i="12"/>
  <c r="F10" i="12"/>
  <c r="F11" i="12"/>
  <c r="F12" i="12"/>
  <c r="F13" i="12"/>
  <c r="F14" i="12"/>
  <c r="F2" i="12"/>
  <c r="E3" i="12"/>
  <c r="E4" i="12"/>
  <c r="E5" i="12"/>
  <c r="E7" i="12"/>
  <c r="E8" i="12"/>
  <c r="E9" i="12"/>
  <c r="E10" i="12"/>
  <c r="E11" i="12"/>
  <c r="E12" i="12"/>
  <c r="E13" i="12"/>
  <c r="E14" i="12"/>
  <c r="E2" i="12"/>
  <c r="G2" i="11"/>
  <c r="F2" i="11"/>
  <c r="E2" i="11"/>
  <c r="F23" i="10" a="1"/>
  <c r="F23" i="10" s="1"/>
  <c r="C6" i="11"/>
  <c r="C5" i="11"/>
  <c r="C4" i="11"/>
  <c r="R5" i="9" a="1"/>
  <c r="R5" i="9" s="1"/>
  <c r="P9" i="9" a="1"/>
  <c r="P9" i="9" s="1"/>
  <c r="I4" i="10" a="1"/>
  <c r="I4" i="10" s="1"/>
  <c r="F7" i="10"/>
  <c r="F6" i="10"/>
  <c r="F5" i="10"/>
  <c r="F4" i="10"/>
  <c r="F3" i="10"/>
  <c r="C2" i="9"/>
  <c r="D2" i="9"/>
  <c r="E2" i="9"/>
  <c r="F2" i="9"/>
  <c r="G2" i="9"/>
  <c r="H2" i="9"/>
  <c r="I2" i="9"/>
  <c r="J2" i="9"/>
  <c r="C3" i="9"/>
  <c r="D3" i="9"/>
  <c r="E3" i="9"/>
  <c r="F3" i="9"/>
  <c r="G3" i="9"/>
  <c r="H3" i="9"/>
  <c r="I3" i="9"/>
  <c r="J3" i="9"/>
  <c r="C4" i="9"/>
  <c r="D4" i="9"/>
  <c r="E4" i="9"/>
  <c r="F4" i="9"/>
  <c r="G4" i="9"/>
  <c r="H4" i="9"/>
  <c r="I4" i="9"/>
  <c r="J4" i="9"/>
  <c r="C5" i="9"/>
  <c r="D5" i="9"/>
  <c r="E5" i="9"/>
  <c r="F5" i="9"/>
  <c r="G5" i="9"/>
  <c r="H5" i="9"/>
  <c r="I5" i="9"/>
  <c r="J5" i="9"/>
  <c r="C6" i="9"/>
  <c r="D6" i="9"/>
  <c r="E6" i="9"/>
  <c r="F6" i="9"/>
  <c r="G6" i="9"/>
  <c r="H6" i="9"/>
  <c r="I6" i="9"/>
  <c r="J6" i="9"/>
  <c r="C7" i="9"/>
  <c r="D7" i="9"/>
  <c r="E7" i="9"/>
  <c r="F7" i="9"/>
  <c r="G7" i="9"/>
  <c r="H7" i="9"/>
  <c r="I7" i="9"/>
  <c r="J7" i="9"/>
  <c r="C8" i="9"/>
  <c r="D8" i="9"/>
  <c r="E8" i="9"/>
  <c r="F8" i="9"/>
  <c r="G8" i="9"/>
  <c r="H8" i="9"/>
  <c r="I8" i="9"/>
  <c r="J8" i="9"/>
  <c r="C9" i="9"/>
  <c r="D9" i="9"/>
  <c r="E9" i="9"/>
  <c r="F9" i="9"/>
  <c r="G9" i="9"/>
  <c r="H9" i="9"/>
  <c r="I9" i="9"/>
  <c r="J9" i="9"/>
  <c r="C10" i="9"/>
  <c r="D10" i="9"/>
  <c r="E10" i="9"/>
  <c r="F10" i="9"/>
  <c r="G10" i="9"/>
  <c r="H10" i="9"/>
  <c r="I10" i="9"/>
  <c r="J10" i="9"/>
  <c r="B3" i="9"/>
  <c r="B4" i="9"/>
  <c r="B5" i="9"/>
  <c r="B6" i="9"/>
  <c r="B7" i="9"/>
  <c r="B8" i="9"/>
  <c r="B9" i="9"/>
  <c r="B10" i="9"/>
  <c r="B2" i="9"/>
  <c r="H10" i="8"/>
  <c r="H9" i="8"/>
  <c r="H8" i="8"/>
  <c r="H7" i="8"/>
  <c r="H6" i="8"/>
  <c r="H5" i="8"/>
  <c r="D11" i="8"/>
  <c r="D10" i="8"/>
  <c r="D9" i="8"/>
  <c r="D8" i="8"/>
  <c r="D7" i="8"/>
  <c r="D6" i="8"/>
  <c r="D5" i="8"/>
  <c r="I35" i="7"/>
  <c r="I34" i="7"/>
  <c r="I33" i="7"/>
  <c r="I32" i="7"/>
  <c r="I31" i="7"/>
  <c r="I30" i="7"/>
  <c r="I29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" i="7"/>
  <c r="M10" i="7"/>
  <c r="M9" i="7"/>
  <c r="M8" i="7"/>
  <c r="J9" i="7"/>
  <c r="J8" i="7"/>
  <c r="J7" i="7"/>
  <c r="J6" i="7"/>
  <c r="J5" i="7"/>
  <c r="J4" i="7"/>
  <c r="J3" i="7"/>
  <c r="C18" i="6"/>
  <c r="C17" i="6"/>
  <c r="E10" i="6"/>
  <c r="D10" i="6"/>
  <c r="C10" i="6"/>
  <c r="B10" i="6"/>
  <c r="Y9" i="6"/>
  <c r="V9" i="6"/>
  <c r="S9" i="6"/>
  <c r="R9" i="6"/>
  <c r="O9" i="6"/>
  <c r="L9" i="6"/>
  <c r="J9" i="6"/>
  <c r="I9" i="6"/>
  <c r="E9" i="6"/>
  <c r="D9" i="6"/>
  <c r="C9" i="6"/>
  <c r="B9" i="6"/>
  <c r="Y8" i="6"/>
  <c r="V8" i="6"/>
  <c r="S8" i="6"/>
  <c r="R8" i="6"/>
  <c r="O8" i="6"/>
  <c r="L8" i="6"/>
  <c r="J8" i="6"/>
  <c r="I8" i="6"/>
  <c r="E8" i="6"/>
  <c r="D8" i="6"/>
  <c r="C8" i="6"/>
  <c r="B8" i="6"/>
  <c r="Y7" i="6"/>
  <c r="V7" i="6"/>
  <c r="S7" i="6"/>
  <c r="R7" i="6"/>
  <c r="O7" i="6"/>
  <c r="L7" i="6"/>
  <c r="J7" i="6"/>
  <c r="I7" i="6"/>
  <c r="E7" i="6"/>
  <c r="D7" i="6"/>
  <c r="C7" i="6"/>
  <c r="B7" i="6"/>
  <c r="Y6" i="6"/>
  <c r="V6" i="6"/>
  <c r="S6" i="6"/>
  <c r="R6" i="6"/>
  <c r="O6" i="6"/>
  <c r="L6" i="6"/>
  <c r="J6" i="6"/>
  <c r="I6" i="6"/>
  <c r="E6" i="6"/>
  <c r="D6" i="6"/>
  <c r="C6" i="6"/>
  <c r="B6" i="6"/>
  <c r="Y5" i="6"/>
  <c r="V5" i="6"/>
  <c r="S5" i="6"/>
  <c r="R5" i="6"/>
  <c r="O5" i="6"/>
  <c r="L5" i="6"/>
  <c r="J5" i="6"/>
  <c r="I5" i="6"/>
  <c r="E5" i="6"/>
  <c r="D5" i="6"/>
  <c r="C5" i="6"/>
  <c r="B5" i="6"/>
  <c r="Y4" i="6"/>
  <c r="V4" i="6"/>
  <c r="S4" i="6"/>
  <c r="R4" i="6"/>
  <c r="O4" i="6"/>
  <c r="L4" i="6"/>
  <c r="J4" i="6"/>
  <c r="I4" i="6"/>
  <c r="E4" i="6"/>
  <c r="D4" i="6"/>
  <c r="C4" i="6"/>
  <c r="B4" i="6"/>
  <c r="Y3" i="6"/>
  <c r="V3" i="6"/>
  <c r="S3" i="6"/>
  <c r="R3" i="6"/>
  <c r="O3" i="6"/>
  <c r="L3" i="6"/>
  <c r="J3" i="6"/>
  <c r="I3" i="6"/>
  <c r="E3" i="6"/>
  <c r="D3" i="6"/>
  <c r="C3" i="6"/>
  <c r="B3" i="6"/>
  <c r="Y2" i="6"/>
  <c r="V2" i="6"/>
  <c r="S2" i="6"/>
  <c r="R2" i="6"/>
  <c r="O2" i="6"/>
  <c r="L2" i="6"/>
  <c r="J2" i="6"/>
  <c r="I2" i="6"/>
  <c r="E2" i="6"/>
  <c r="D2" i="6"/>
  <c r="C2" i="6"/>
  <c r="B2" i="6"/>
  <c r="J2" i="5"/>
  <c r="J3" i="5"/>
  <c r="J4" i="5"/>
  <c r="J5" i="5"/>
  <c r="J6" i="5"/>
  <c r="J7" i="5"/>
  <c r="J8" i="5"/>
  <c r="J9" i="5"/>
  <c r="J10" i="5"/>
  <c r="I3" i="5"/>
  <c r="I4" i="5"/>
  <c r="I5" i="5"/>
  <c r="I6" i="5"/>
  <c r="I7" i="5"/>
  <c r="I8" i="5"/>
  <c r="I9" i="5"/>
  <c r="I10" i="5"/>
  <c r="I2" i="5"/>
  <c r="A13" i="5"/>
  <c r="F1" i="3"/>
  <c r="F2" i="3"/>
  <c r="F3" i="3"/>
  <c r="F4" i="3"/>
  <c r="F5" i="3"/>
  <c r="F6" i="3"/>
  <c r="F7" i="3"/>
  <c r="F8" i="3"/>
  <c r="F9" i="3"/>
  <c r="F10" i="3"/>
  <c r="F11" i="3"/>
  <c r="X3" i="1"/>
  <c r="X4" i="1"/>
  <c r="X5" i="1"/>
  <c r="X6" i="1"/>
  <c r="X7" i="1"/>
  <c r="X8" i="1"/>
  <c r="X9" i="1"/>
  <c r="X10" i="1"/>
  <c r="X11" i="1"/>
  <c r="X2" i="1"/>
  <c r="V3" i="1"/>
  <c r="V4" i="1"/>
  <c r="V5" i="1"/>
  <c r="V11" i="1"/>
  <c r="V2" i="1"/>
  <c r="T3" i="1"/>
  <c r="T4" i="1"/>
  <c r="R3" i="1"/>
  <c r="R4" i="1"/>
  <c r="R5" i="1"/>
  <c r="Q3" i="1"/>
  <c r="Q4" i="1"/>
  <c r="Q5" i="1"/>
  <c r="Q6" i="1"/>
  <c r="Q7" i="1"/>
  <c r="Q8" i="1"/>
  <c r="Q9" i="1"/>
  <c r="Q10" i="1"/>
  <c r="Q11" i="1"/>
  <c r="Q2" i="1"/>
  <c r="P3" i="1"/>
  <c r="P4" i="1"/>
  <c r="P5" i="1"/>
  <c r="P6" i="1"/>
  <c r="P7" i="1"/>
  <c r="P8" i="1"/>
  <c r="P9" i="1"/>
  <c r="P10" i="1"/>
  <c r="P11" i="1"/>
  <c r="P2" i="1"/>
  <c r="M3" i="1"/>
  <c r="U3" i="1" s="1"/>
  <c r="M4" i="1"/>
  <c r="U4" i="1" s="1"/>
  <c r="M5" i="1"/>
  <c r="T5" i="1" s="1"/>
  <c r="M6" i="1"/>
  <c r="T6" i="1" s="1"/>
  <c r="M7" i="1"/>
  <c r="R7" i="1" s="1"/>
  <c r="M8" i="1"/>
  <c r="R8" i="1" s="1"/>
  <c r="M9" i="1"/>
  <c r="R9" i="1" s="1"/>
  <c r="M10" i="1"/>
  <c r="S10" i="1" s="1"/>
  <c r="M11" i="1"/>
  <c r="S11" i="1" s="1"/>
  <c r="M2" i="1"/>
  <c r="S2" i="1" s="1"/>
  <c r="J3" i="1"/>
  <c r="J4" i="1"/>
  <c r="J5" i="1"/>
  <c r="J6" i="1"/>
  <c r="J7" i="1"/>
  <c r="J8" i="1"/>
  <c r="J9" i="1"/>
  <c r="J10" i="1"/>
  <c r="J11" i="1"/>
  <c r="J2" i="1"/>
  <c r="I4" i="1"/>
  <c r="I5" i="1"/>
  <c r="I6" i="1"/>
  <c r="I7" i="1"/>
  <c r="I8" i="1"/>
  <c r="I9" i="1"/>
  <c r="I10" i="1"/>
  <c r="I11" i="1"/>
  <c r="I3" i="1"/>
  <c r="I2" i="1"/>
  <c r="H3" i="1"/>
  <c r="H4" i="1"/>
  <c r="H5" i="1"/>
  <c r="H6" i="1"/>
  <c r="H7" i="1"/>
  <c r="H8" i="1"/>
  <c r="H9" i="1"/>
  <c r="H10" i="1"/>
  <c r="H11" i="1"/>
  <c r="H2" i="1"/>
  <c r="G3" i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F2" i="1"/>
  <c r="E3" i="1"/>
  <c r="E4" i="1"/>
  <c r="E5" i="1"/>
  <c r="E6" i="1"/>
  <c r="E7" i="1"/>
  <c r="E8" i="1"/>
  <c r="E9" i="1"/>
  <c r="E10" i="1"/>
  <c r="E11" i="1"/>
  <c r="E2" i="1"/>
  <c r="D3" i="1"/>
  <c r="D4" i="1"/>
  <c r="D5" i="1"/>
  <c r="D6" i="1"/>
  <c r="D7" i="1"/>
  <c r="D8" i="1"/>
  <c r="D9" i="1"/>
  <c r="D10" i="1"/>
  <c r="D11" i="1"/>
  <c r="D2" i="1"/>
  <c r="C3" i="1"/>
  <c r="C4" i="1"/>
  <c r="C5" i="1"/>
  <c r="C6" i="1"/>
  <c r="C7" i="1"/>
  <c r="C8" i="1"/>
  <c r="C9" i="1"/>
  <c r="C10" i="1"/>
  <c r="C11" i="1"/>
  <c r="C2" i="1"/>
  <c r="B5" i="1"/>
  <c r="B4" i="1"/>
  <c r="B6" i="1"/>
  <c r="B7" i="1"/>
  <c r="B8" i="1"/>
  <c r="B9" i="1"/>
  <c r="B10" i="1"/>
  <c r="B11" i="1"/>
  <c r="B3" i="1"/>
  <c r="B2" i="1"/>
  <c r="D11" i="11"/>
  <c r="E11" i="11" s="1"/>
  <c r="A6" i="12"/>
  <c r="C2" i="12" s="1" a="1"/>
  <c r="C2" i="12" s="1"/>
  <c r="F11" i="11" l="1"/>
  <c r="H6" i="12"/>
  <c r="F6" i="12"/>
  <c r="E6" i="12"/>
  <c r="D2" i="12" a="1"/>
  <c r="D2" i="12" s="1"/>
  <c r="B2" i="12" a="1"/>
  <c r="B2" i="12" s="1"/>
  <c r="S9" i="1"/>
  <c r="S8" i="1"/>
  <c r="S7" i="1"/>
  <c r="S6" i="1"/>
  <c r="V10" i="1"/>
  <c r="S5" i="1"/>
  <c r="V9" i="1"/>
  <c r="S4" i="1"/>
  <c r="V8" i="1"/>
  <c r="S3" i="1"/>
  <c r="V7" i="1"/>
  <c r="R6" i="1"/>
  <c r="V6" i="1"/>
  <c r="U2" i="1"/>
  <c r="U11" i="1"/>
  <c r="T2" i="1"/>
  <c r="U10" i="1"/>
  <c r="T11" i="1"/>
  <c r="U9" i="1"/>
  <c r="T10" i="1"/>
  <c r="U8" i="1"/>
  <c r="R11" i="1"/>
  <c r="T9" i="1"/>
  <c r="U7" i="1"/>
  <c r="R2" i="1"/>
  <c r="R10" i="1"/>
  <c r="T8" i="1"/>
  <c r="U6" i="1"/>
  <c r="T7" i="1"/>
  <c r="U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<sst xmlns="http://schemas.openxmlformats.org/spreadsheetml/2006/main" count="695" uniqueCount="441">
  <si>
    <t>Employee Name</t>
  </si>
  <si>
    <t>JP Kumar</t>
  </si>
  <si>
    <t>Anjali Thakur</t>
  </si>
  <si>
    <t>Priya Agarwal</t>
  </si>
  <si>
    <t>R Vasu</t>
  </si>
  <si>
    <t>Sanjay Gupta</t>
  </si>
  <si>
    <t>Jharna Biswal</t>
  </si>
  <si>
    <t>Prakash Dutta</t>
  </si>
  <si>
    <t>Manisha Guha</t>
  </si>
  <si>
    <t>Arjun Jain</t>
  </si>
  <si>
    <t>Arjun Kapoor</t>
  </si>
  <si>
    <t>Anjali THakur</t>
  </si>
  <si>
    <t>Priya AgarwaL</t>
  </si>
  <si>
    <t>Sanjay GuptA</t>
  </si>
  <si>
    <t>Arjun JAiN</t>
  </si>
  <si>
    <t>Upper</t>
  </si>
  <si>
    <t>Lower</t>
  </si>
  <si>
    <t>Proper</t>
  </si>
  <si>
    <t>Len</t>
  </si>
  <si>
    <t>Left</t>
  </si>
  <si>
    <t>Right</t>
  </si>
  <si>
    <t>MID</t>
  </si>
  <si>
    <t>JP</t>
  </si>
  <si>
    <t>Kumar</t>
  </si>
  <si>
    <t>Anjali</t>
  </si>
  <si>
    <t>THakur</t>
  </si>
  <si>
    <t>Priya</t>
  </si>
  <si>
    <t>AgarwaL</t>
  </si>
  <si>
    <t>R</t>
  </si>
  <si>
    <t>Vasu</t>
  </si>
  <si>
    <t>Sanjay</t>
  </si>
  <si>
    <t>GuptA</t>
  </si>
  <si>
    <t>Jharna</t>
  </si>
  <si>
    <t>Biswal</t>
  </si>
  <si>
    <t>Prakash</t>
  </si>
  <si>
    <t>Dutta</t>
  </si>
  <si>
    <t>Manisha</t>
  </si>
  <si>
    <t>Guha</t>
  </si>
  <si>
    <t>Arjun</t>
  </si>
  <si>
    <t>JAiN</t>
  </si>
  <si>
    <t>Kapoor</t>
  </si>
  <si>
    <t>First Name</t>
  </si>
  <si>
    <t>Last Name</t>
  </si>
  <si>
    <t>Full Name</t>
  </si>
  <si>
    <t>Jp Kumar</t>
  </si>
  <si>
    <t>Exact</t>
  </si>
  <si>
    <t>(Operator)</t>
  </si>
  <si>
    <t>Find</t>
  </si>
  <si>
    <t>Search</t>
  </si>
  <si>
    <t>Replace</t>
  </si>
  <si>
    <t>Substitute</t>
  </si>
  <si>
    <t>Q-1</t>
  </si>
  <si>
    <t>Transpose A Column data in Horizontal Format</t>
  </si>
  <si>
    <t>Q-2</t>
  </si>
  <si>
    <t>Transpose 16 Row  data in Vertical Format</t>
  </si>
  <si>
    <t>Region</t>
  </si>
  <si>
    <t>Data</t>
  </si>
  <si>
    <t>Add</t>
  </si>
  <si>
    <t>Substract</t>
  </si>
  <si>
    <t>Multiply</t>
  </si>
  <si>
    <t>Divide</t>
  </si>
  <si>
    <t>Value</t>
  </si>
  <si>
    <t>INT</t>
  </si>
  <si>
    <t>Round</t>
  </si>
  <si>
    <t>Roundup</t>
  </si>
  <si>
    <t>Rounddown</t>
  </si>
  <si>
    <t>Power</t>
  </si>
  <si>
    <t>Power Function</t>
  </si>
  <si>
    <t>Anjali        THakur</t>
  </si>
  <si>
    <t>Priya                 AgarwaL</t>
  </si>
  <si>
    <t>R             Vasu</t>
  </si>
  <si>
    <t>Sanjay                  GuptA</t>
  </si>
  <si>
    <t>Jharna                    Biswal</t>
  </si>
  <si>
    <t>Prakash                    Dutta</t>
  </si>
  <si>
    <t>Manisha                   Guha</t>
  </si>
  <si>
    <t>Arjun             JAiN</t>
  </si>
  <si>
    <t>Arjun                        Kapoor</t>
  </si>
  <si>
    <t>JP                           Kumar</t>
  </si>
  <si>
    <t>Trim</t>
  </si>
  <si>
    <t>Roman</t>
  </si>
  <si>
    <t>IV</t>
  </si>
  <si>
    <t>VI</t>
  </si>
  <si>
    <t>II</t>
  </si>
  <si>
    <t>VIII</t>
  </si>
  <si>
    <t>V</t>
  </si>
  <si>
    <t>IX</t>
  </si>
  <si>
    <t>VII</t>
  </si>
  <si>
    <t>REPT</t>
  </si>
  <si>
    <t>*</t>
  </si>
  <si>
    <t>SQRT</t>
  </si>
  <si>
    <t>Address</t>
  </si>
  <si>
    <t>City</t>
  </si>
  <si>
    <t>Department</t>
  </si>
  <si>
    <t>Basic</t>
  </si>
  <si>
    <t>Andheri (W)</t>
  </si>
  <si>
    <t>Mumbai</t>
  </si>
  <si>
    <t>W</t>
  </si>
  <si>
    <t>Training</t>
  </si>
  <si>
    <t>Govindpuri</t>
  </si>
  <si>
    <t>Delhi</t>
  </si>
  <si>
    <t>N</t>
  </si>
  <si>
    <t>Accounts</t>
  </si>
  <si>
    <t>Sector 9</t>
  </si>
  <si>
    <t>Noida</t>
  </si>
  <si>
    <t>Marketing</t>
  </si>
  <si>
    <t>Egmore</t>
  </si>
  <si>
    <t>Chennai</t>
  </si>
  <si>
    <t>S</t>
  </si>
  <si>
    <t>R&amp;D</t>
  </si>
  <si>
    <t>Link Road</t>
  </si>
  <si>
    <t>Cuttack</t>
  </si>
  <si>
    <t>E</t>
  </si>
  <si>
    <t>Elgin Road</t>
  </si>
  <si>
    <t>Kolkata</t>
  </si>
  <si>
    <t>Alipore</t>
  </si>
  <si>
    <t>MG Road</t>
  </si>
  <si>
    <t>Bangalore</t>
  </si>
  <si>
    <t>Abrar</t>
  </si>
  <si>
    <t>Jayanagar</t>
  </si>
  <si>
    <t>Shahid Khan</t>
  </si>
  <si>
    <t>M.G Road</t>
  </si>
  <si>
    <t>Mangalore</t>
  </si>
  <si>
    <t>Anupam Mishra</t>
  </si>
  <si>
    <t>Mysore</t>
  </si>
  <si>
    <t>Ashwini</t>
  </si>
  <si>
    <t>Prateek Babbar</t>
  </si>
  <si>
    <t>North Road</t>
  </si>
  <si>
    <t>Sukanya Reddy</t>
  </si>
  <si>
    <t>Satish Puri</t>
  </si>
  <si>
    <t>Bandra</t>
  </si>
  <si>
    <t>Operation</t>
  </si>
  <si>
    <t>Anjum Chopra</t>
  </si>
  <si>
    <t>Worli</t>
  </si>
  <si>
    <t>Akram Khan</t>
  </si>
  <si>
    <t>S P B Road</t>
  </si>
  <si>
    <t>Pune</t>
  </si>
  <si>
    <t>Manish Grover</t>
  </si>
  <si>
    <t>L L R Road</t>
  </si>
  <si>
    <t>SUMIFS</t>
  </si>
  <si>
    <t>COUNTIFS</t>
  </si>
  <si>
    <t>Q-1 Total Salary of Training Department Employees form W Region</t>
  </si>
  <si>
    <t>Q-2 Average Salary of Training Department Employees form W Region</t>
  </si>
  <si>
    <t>Q-3 Total Number of Employees from  Training Department and form W Region</t>
  </si>
  <si>
    <t>Tax Rate</t>
  </si>
  <si>
    <t>Relative Demo</t>
  </si>
  <si>
    <t>Absolute Referencing Demo</t>
  </si>
  <si>
    <t>Product Name</t>
  </si>
  <si>
    <t>Quantity</t>
  </si>
  <si>
    <t>Rate</t>
  </si>
  <si>
    <t>Amount</t>
  </si>
  <si>
    <t>Emp Name</t>
  </si>
  <si>
    <t>Salary</t>
  </si>
  <si>
    <t>Tax</t>
  </si>
  <si>
    <t>Pepsi</t>
  </si>
  <si>
    <t>Ram</t>
  </si>
  <si>
    <t>coke</t>
  </si>
  <si>
    <t>Shyam</t>
  </si>
  <si>
    <t>Slice</t>
  </si>
  <si>
    <t>Hari</t>
  </si>
  <si>
    <t>Miranda</t>
  </si>
  <si>
    <t>Manish</t>
  </si>
  <si>
    <t>Team</t>
  </si>
  <si>
    <t>Asha</t>
  </si>
  <si>
    <t>7-Up</t>
  </si>
  <si>
    <t>Ansu</t>
  </si>
  <si>
    <t>frooty</t>
  </si>
  <si>
    <t>ABS</t>
  </si>
  <si>
    <t>Sum</t>
  </si>
  <si>
    <t>Average</t>
  </si>
  <si>
    <t>Max</t>
  </si>
  <si>
    <t>Min</t>
  </si>
  <si>
    <t>Count</t>
  </si>
  <si>
    <t>CTRL+;</t>
  </si>
  <si>
    <t>CTRL+SHIFT+:</t>
  </si>
  <si>
    <t>TODAY</t>
  </si>
  <si>
    <t>NOW</t>
  </si>
  <si>
    <t>NOW-TODAY</t>
  </si>
  <si>
    <t>TIME</t>
  </si>
  <si>
    <t>DATE</t>
  </si>
  <si>
    <t>HOUR</t>
  </si>
  <si>
    <t>MINUTES</t>
  </si>
  <si>
    <t>SECOND</t>
  </si>
  <si>
    <t>DATA</t>
  </si>
  <si>
    <t>ISTEXT</t>
  </si>
  <si>
    <t>ISNUMBER</t>
  </si>
  <si>
    <t>ISEVEN</t>
  </si>
  <si>
    <t>ISODD</t>
  </si>
  <si>
    <t>ISNONTEXT</t>
  </si>
  <si>
    <t>ISFORMULA</t>
  </si>
  <si>
    <t>India</t>
  </si>
  <si>
    <t>Excel</t>
  </si>
  <si>
    <t>ISLOGICAL</t>
  </si>
  <si>
    <t>Weekday</t>
  </si>
  <si>
    <t>Weeknum</t>
  </si>
  <si>
    <t>Excel is World Most Famous Spreadsheet Application</t>
  </si>
  <si>
    <t xml:space="preserve">It is Integral Part of MS-Office </t>
  </si>
  <si>
    <t>Any Software that contain data in rows &amp; Column is known As Spreadsheet</t>
  </si>
  <si>
    <t>Horizontal lines are known as Rows</t>
  </si>
  <si>
    <t>Vertical Lines are Known as Columns</t>
  </si>
  <si>
    <t>Intersection of Row &amp; Column is Known as Cell.</t>
  </si>
  <si>
    <t>Alphabets are Columns</t>
  </si>
  <si>
    <t>Number are denoted as Rows</t>
  </si>
  <si>
    <t>Total Numbers of Rows 10,48,576</t>
  </si>
  <si>
    <t>Total Number of Columns 16,384</t>
  </si>
  <si>
    <t>1 is First Row</t>
  </si>
  <si>
    <t>A is First Column</t>
  </si>
  <si>
    <t>A1 is First Cell</t>
  </si>
  <si>
    <t>XFD1048576 is Last Cell.</t>
  </si>
  <si>
    <t>CTRL+DOWN Arrow Key To go Last Row</t>
  </si>
  <si>
    <t>CTRL+RIGHT Arrow key to go Last Column</t>
  </si>
  <si>
    <t>CTRL+LEFT Arrow Key for First Column</t>
  </si>
  <si>
    <t>CTRL+UP Arrow Key To go First  Row</t>
  </si>
  <si>
    <t>SHIFT + F11 Key Used to Insert New Worksheet</t>
  </si>
  <si>
    <t>CTRL+PGDn is Used To Next Sheet</t>
  </si>
  <si>
    <t>CTRL+UP is Used To Previous Sheet</t>
  </si>
  <si>
    <t>CLRT+HOME For First  Cell</t>
  </si>
  <si>
    <t>CTRL+A To Select All Data</t>
  </si>
  <si>
    <t xml:space="preserve">ALT+PGDN </t>
  </si>
  <si>
    <t>F11 To Insert Instant Chart</t>
  </si>
  <si>
    <t>ALT+F1 To Insert Chart in Data Sheet</t>
  </si>
  <si>
    <t>.XLSX</t>
  </si>
  <si>
    <t>.XLSM</t>
  </si>
  <si>
    <t>.XLSB</t>
  </si>
  <si>
    <t>KA-05-KP-8562</t>
  </si>
  <si>
    <t>TN-10-RD-9878</t>
  </si>
  <si>
    <t>AP-10-NA-2378</t>
  </si>
  <si>
    <t>TS-04-BA-9567</t>
  </si>
  <si>
    <t>KL-07-ST-8923</t>
  </si>
  <si>
    <t>WB-11-CG-5679</t>
  </si>
  <si>
    <t>UP-09-ST-7453</t>
  </si>
  <si>
    <t>MH-05-AP-9845</t>
  </si>
  <si>
    <t>OR-06-KN-4598</t>
  </si>
  <si>
    <t>DL-03-EG-8345</t>
  </si>
  <si>
    <t>GA-05-AP-3456</t>
  </si>
  <si>
    <t>Example-1</t>
  </si>
  <si>
    <t>Example-2</t>
  </si>
  <si>
    <t>Linear</t>
  </si>
  <si>
    <t>Growth</t>
  </si>
  <si>
    <t>Date</t>
  </si>
  <si>
    <t>Month</t>
  </si>
  <si>
    <t>Year</t>
  </si>
  <si>
    <t>Custom List</t>
  </si>
  <si>
    <t>Linear(Step value)</t>
  </si>
  <si>
    <t>Growth(With Step Value</t>
  </si>
  <si>
    <t>Sanjay Roy</t>
  </si>
  <si>
    <t>Priya Sharma</t>
  </si>
  <si>
    <t>Arjun Reddy</t>
  </si>
  <si>
    <t>^</t>
  </si>
  <si>
    <t>Arabic</t>
  </si>
  <si>
    <t>SUM</t>
  </si>
  <si>
    <t>AVERAGE</t>
  </si>
  <si>
    <t>MAX</t>
  </si>
  <si>
    <t>MIN</t>
  </si>
  <si>
    <t>COUNT</t>
  </si>
  <si>
    <t>COUNTA</t>
  </si>
  <si>
    <t>COUNtBLANK</t>
  </si>
  <si>
    <t>COUNTIF</t>
  </si>
  <si>
    <t>SUMIF</t>
  </si>
  <si>
    <t>AVERAGEIF</t>
  </si>
  <si>
    <t>LARGE</t>
  </si>
  <si>
    <t>SMALL</t>
  </si>
  <si>
    <t>RANK</t>
  </si>
  <si>
    <t>AVERAGEIFS</t>
  </si>
  <si>
    <t>function</t>
  </si>
  <si>
    <t>its set of rules or block of code which already predefined/precomplied</t>
  </si>
  <si>
    <t>three components of functions</t>
  </si>
  <si>
    <t>1) function name</t>
  </si>
  <si>
    <t>2) functions inputs/parameters</t>
  </si>
  <si>
    <t>3) return value</t>
  </si>
  <si>
    <t>always functions are representeeed by ()</t>
  </si>
  <si>
    <t>First Half Name</t>
  </si>
  <si>
    <t>Second Half Name</t>
  </si>
  <si>
    <t>case-sen</t>
  </si>
  <si>
    <t>no case</t>
  </si>
  <si>
    <t>Case sensitive</t>
  </si>
  <si>
    <t>2nd a replace by $</t>
  </si>
  <si>
    <t>paste link : alt+crtl+v</t>
  </si>
  <si>
    <t>if we change E column then it will be changed in F column</t>
  </si>
  <si>
    <t>if we change in parent column then it will be changing in the child table</t>
  </si>
  <si>
    <t>rand function</t>
  </si>
  <si>
    <t>randbetween function</t>
  </si>
  <si>
    <t>randbetween(start number, end number)</t>
  </si>
  <si>
    <t>random number will be displaying.</t>
  </si>
  <si>
    <t>b+a</t>
  </si>
  <si>
    <t>c-a</t>
  </si>
  <si>
    <t>d*a</t>
  </si>
  <si>
    <t>e/a</t>
  </si>
  <si>
    <t>ctrl+c(a)</t>
  </si>
  <si>
    <t>*=h2*(fn+f4)</t>
  </si>
  <si>
    <t xml:space="preserve">it will become </t>
  </si>
  <si>
    <t>float into integer</t>
  </si>
  <si>
    <t>round to near by value</t>
  </si>
  <si>
    <t>roundup means to nearest higest integer</t>
  </si>
  <si>
    <t>roundup means to nearest lowest integer</t>
  </si>
  <si>
    <t>*=int(a2)</t>
  </si>
  <si>
    <t>*=round(a2,0)</t>
  </si>
  <si>
    <t>*=roundup(a2,0)</t>
  </si>
  <si>
    <t>*=power(g2,h2)</t>
  </si>
  <si>
    <t>*=g2^h2</t>
  </si>
  <si>
    <t>*=roman(k2)</t>
  </si>
  <si>
    <t>*=arabic(n2)</t>
  </si>
  <si>
    <t>*=rept(q2,5)</t>
  </si>
  <si>
    <t>*=rept(([s] fn+f4),q2)</t>
  </si>
  <si>
    <t>*=sqrt(u2)</t>
  </si>
  <si>
    <t>*=abs(x2)</t>
  </si>
  <si>
    <t>5=number of times reption</t>
  </si>
  <si>
    <t>*=rank(g2,fn+f4[g2:g21])</t>
  </si>
  <si>
    <t>Dense rank</t>
  </si>
  <si>
    <t>lowest rank</t>
  </si>
  <si>
    <t>highest rank</t>
  </si>
  <si>
    <t>*=g5*(fn+f4[j2])</t>
  </si>
  <si>
    <t>*=B$1*$A2</t>
  </si>
  <si>
    <t>select b2:b14</t>
  </si>
  <si>
    <t>then go to formulas</t>
  </si>
  <si>
    <t>there select name manager</t>
  </si>
  <si>
    <t>there select new</t>
  </si>
  <si>
    <t>type a name</t>
  </si>
  <si>
    <t>select the scope</t>
  </si>
  <si>
    <t>*=today()</t>
  </si>
  <si>
    <t>*=now()</t>
  </si>
  <si>
    <t>*=now()-today()</t>
  </si>
  <si>
    <t>click ok</t>
  </si>
  <si>
    <t>then close</t>
  </si>
  <si>
    <t>type =salary</t>
  </si>
  <si>
    <t>select the required cells</t>
  </si>
  <si>
    <t>then click fill in home tab</t>
  </si>
  <si>
    <t>then select series</t>
  </si>
  <si>
    <t>then enter the stop count</t>
  </si>
  <si>
    <t>select growth</t>
  </si>
  <si>
    <t>enter the step count</t>
  </si>
  <si>
    <t>then enter the step count</t>
  </si>
  <si>
    <t>select date</t>
  </si>
  <si>
    <t>then select the day units - month</t>
  </si>
  <si>
    <t>then select the day units to year</t>
  </si>
  <si>
    <t>enter the step value</t>
  </si>
  <si>
    <t>select the day unit to weekdays</t>
  </si>
  <si>
    <t>Monday</t>
  </si>
  <si>
    <t>Tuesday</t>
  </si>
  <si>
    <t>Wednesday</t>
  </si>
  <si>
    <t>Thursday</t>
  </si>
  <si>
    <t>Friday</t>
  </si>
  <si>
    <t>Saturday</t>
  </si>
  <si>
    <t>Sunday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</si>
  <si>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</si>
  <si>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</si>
  <si>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</si>
  <si>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</si>
  <si>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</si>
  <si>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</si>
  <si>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</si>
  <si>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</si>
  <si>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</si>
  <si>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</si>
  <si>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</si>
  <si>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</si>
  <si>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table</t>
  </si>
  <si>
    <t>chair</t>
  </si>
  <si>
    <t>board</t>
  </si>
  <si>
    <t>wall</t>
  </si>
  <si>
    <t>room</t>
  </si>
  <si>
    <t>screen</t>
  </si>
  <si>
    <t>projector</t>
  </si>
  <si>
    <t>just enter the first character</t>
  </si>
  <si>
    <t>then drag it</t>
  </si>
  <si>
    <t>go to files</t>
  </si>
  <si>
    <t>click option</t>
  </si>
  <si>
    <t>click advanced</t>
  </si>
  <si>
    <t>scroll dowun to botton of advanced</t>
  </si>
  <si>
    <t>KA</t>
  </si>
  <si>
    <t>KP</t>
  </si>
  <si>
    <t>MH</t>
  </si>
  <si>
    <t>AP</t>
  </si>
  <si>
    <t>TN</t>
  </si>
  <si>
    <t>RD</t>
  </si>
  <si>
    <t>NA</t>
  </si>
  <si>
    <t>TS</t>
  </si>
  <si>
    <t>BA</t>
  </si>
  <si>
    <t>KL</t>
  </si>
  <si>
    <t>ST</t>
  </si>
  <si>
    <t>WB</t>
  </si>
  <si>
    <t>CG</t>
  </si>
  <si>
    <t>UP</t>
  </si>
  <si>
    <t>OR</t>
  </si>
  <si>
    <t>KN</t>
  </si>
  <si>
    <t>DL</t>
  </si>
  <si>
    <t>EG</t>
  </si>
  <si>
    <t>GA</t>
  </si>
  <si>
    <t>selec the required data field</t>
  </si>
  <si>
    <t>the select the data</t>
  </si>
  <si>
    <t>then click text to columns</t>
  </si>
  <si>
    <t>Thakur</t>
  </si>
  <si>
    <t>Muthanna</t>
  </si>
  <si>
    <t>Gupta</t>
  </si>
  <si>
    <t>select the delimited</t>
  </si>
  <si>
    <t>then click next</t>
  </si>
  <si>
    <t xml:space="preserve"> Priya</t>
  </si>
  <si>
    <t xml:space="preserve">AgarwaL </t>
  </si>
  <si>
    <t xml:space="preserve"> Ajay</t>
  </si>
  <si>
    <t xml:space="preserve">Kumar </t>
  </si>
  <si>
    <t>KA05KP8562</t>
  </si>
  <si>
    <t>MH05AP9845</t>
  </si>
  <si>
    <t>TN10RD9878</t>
  </si>
  <si>
    <t>AP10NA2378</t>
  </si>
  <si>
    <t>TS04BA9567</t>
  </si>
  <si>
    <t>KL07ST8923</t>
  </si>
  <si>
    <t>WB11CG5679</t>
  </si>
  <si>
    <t>UP09ST7453</t>
  </si>
  <si>
    <t>OR06KN4598</t>
  </si>
  <si>
    <t>DL03EG8345</t>
  </si>
  <si>
    <t>GA05AP3456</t>
  </si>
  <si>
    <t>then select the delimeters</t>
  </si>
  <si>
    <t>then click ok</t>
  </si>
  <si>
    <t>if you want any text qualifers</t>
  </si>
  <si>
    <t>jp kumar</t>
  </si>
  <si>
    <t>anjali thakur</t>
  </si>
  <si>
    <t>priya agarwal</t>
  </si>
  <si>
    <t>r vasu</t>
  </si>
  <si>
    <t>sanjay gupta</t>
  </si>
  <si>
    <t>jharna biswal</t>
  </si>
  <si>
    <t>prakash dutta</t>
  </si>
  <si>
    <t>manisha guha</t>
  </si>
  <si>
    <t>arjun jain</t>
  </si>
  <si>
    <t>arjun kapoor</t>
  </si>
  <si>
    <t>write the name in lower case</t>
  </si>
  <si>
    <t>JK123@GMAIL.COM</t>
  </si>
  <si>
    <t>AT123@GMAIL.COM</t>
  </si>
  <si>
    <t>PA123@GMAIL.COM</t>
  </si>
  <si>
    <t>RV123@GMAIL.COM</t>
  </si>
  <si>
    <t>SG123@GMAIL.COM</t>
  </si>
  <si>
    <t>JB123@GMAIL.COM</t>
  </si>
  <si>
    <t>PD123@GMAIL.COM</t>
  </si>
  <si>
    <t>MG123@GMAIL.COM</t>
  </si>
  <si>
    <t>AJ123@GMAIL.COM</t>
  </si>
  <si>
    <t>AK123@GMAIL.COM</t>
  </si>
  <si>
    <t>edit custom list</t>
  </si>
  <si>
    <t>select the required text or series</t>
  </si>
  <si>
    <t>then click add</t>
  </si>
  <si>
    <t>click of</t>
  </si>
  <si>
    <t>then select the destination where to display</t>
  </si>
  <si>
    <t>then click finish</t>
  </si>
  <si>
    <t>Emp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</si>
</sst>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;[Red]&quot;₹&quot;\ #,##0.00"/>
    <numFmt numFmtId="165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9" fontId="0" fillId="0" borderId="0" xfId="0" applyNumberFormat="1"/>
    <xf numFmtId="14" fontId="0" fillId="0" borderId="0" xfId="0" applyNumberFormat="1"/>
    <xf numFmtId="22" fontId="0" fillId="0" borderId="0" xfId="0" applyNumberFormat="1"/>
    <xf numFmtId="165" fontId="0" fillId="0" borderId="0" xfId="0" applyNumberFormat="1"/>
    <xf numFmtId="19" fontId="0" fillId="0" borderId="0" xfId="0" applyNumberFormat="1"/>
    <xf numFmtId="0" fontId="0" fillId="0" borderId="0" xfId="0" quotePrefix="1"/>
    <xf numFmtId="20" fontId="0" fillId="0" borderId="0" xfId="0" applyNumberFormat="1"/>
    <xf numFmtId="0" fontId="2" fillId="0" borderId="0" xfId="1"/>
    <xf numFmtId="18" fontId="0" fillId="0" borderId="0" xfId="0" applyNumberFormat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mailto:MG123@GMAIL.COM" TargetMode="External"/><Relationship Id="rId3" Type="http://schemas.openxmlformats.org/officeDocument/2006/relationships/hyperlink" Target="mailto:PA123@GMAIL.COM" TargetMode="External"/><Relationship Id="rId7" Type="http://schemas.openxmlformats.org/officeDocument/2006/relationships/hyperlink" Target="mailto:PD123@GMAIL.COM" TargetMode="External"/><Relationship Id="rId2" Type="http://schemas.openxmlformats.org/officeDocument/2006/relationships/hyperlink" Target="mailto:AT123@GMAIL.COM" TargetMode="External"/><Relationship Id="rId1" Type="http://schemas.openxmlformats.org/officeDocument/2006/relationships/hyperlink" Target="mailto:JK123@GMAIL.COM" TargetMode="External"/><Relationship Id="rId6" Type="http://schemas.openxmlformats.org/officeDocument/2006/relationships/hyperlink" Target="mailto:JB123@GMAIL.COM" TargetMode="External"/><Relationship Id="rId5" Type="http://schemas.openxmlformats.org/officeDocument/2006/relationships/hyperlink" Target="mailto:SG123@GMAIL.COM" TargetMode="External"/><Relationship Id="rId10" Type="http://schemas.openxmlformats.org/officeDocument/2006/relationships/hyperlink" Target="mailto:AK123@GMAIL.COM" TargetMode="External"/><Relationship Id="rId4" Type="http://schemas.openxmlformats.org/officeDocument/2006/relationships/hyperlink" Target="mailto:RV123@GMAIL.COM" TargetMode="External"/><Relationship Id="rId9" Type="http://schemas.openxmlformats.org/officeDocument/2006/relationships/hyperlink" Target="mailto:AJ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EE69F-5CF7-47B5-AADD-43CBA0FAD2A7}">
  <sheetPr codeName="Sheet1"/>
  <dimension ref="A1:B38"/>
  <sheetViews>
    <sheetView topLeftCell="A17" zoomScale="129" zoomScaleNormal="170" workbookViewId="0">
      <selection activeCell="F27" sqref="F27"/>
    </sheetView>
  </sheetViews>
  <sheetFormatPr defaultRowHeight="14.5" x14ac:dyDescent="0.35"/>
  <cols>
    <col min="1" max="1" width="5.453125" customWidth="1"/>
    <col min="2" max="2" width="62.81640625" bestFit="1" customWidth="1"/>
  </cols>
  <sheetData>
    <row r="1" spans="1:2" x14ac:dyDescent="0.35">
      <c r="A1">
        <v>1</v>
      </c>
      <c r="B1" t="s">
        <v>194</v>
      </c>
    </row>
    <row r="2" spans="1:2" x14ac:dyDescent="0.35">
      <c r="A2">
        <v>2</v>
      </c>
      <c r="B2" t="s">
        <v>196</v>
      </c>
    </row>
    <row r="3" spans="1:2" x14ac:dyDescent="0.35">
      <c r="A3">
        <v>3</v>
      </c>
      <c r="B3" t="s">
        <v>195</v>
      </c>
    </row>
    <row r="4" spans="1:2" x14ac:dyDescent="0.35">
      <c r="A4">
        <v>4</v>
      </c>
      <c r="B4" t="s">
        <v>197</v>
      </c>
    </row>
    <row r="5" spans="1:2" x14ac:dyDescent="0.35">
      <c r="A5">
        <v>5</v>
      </c>
      <c r="B5" t="s">
        <v>198</v>
      </c>
    </row>
    <row r="6" spans="1:2" x14ac:dyDescent="0.35">
      <c r="A6">
        <v>6</v>
      </c>
      <c r="B6" t="s">
        <v>199</v>
      </c>
    </row>
    <row r="7" spans="1:2" x14ac:dyDescent="0.35">
      <c r="A7">
        <v>7</v>
      </c>
      <c r="B7" t="s">
        <v>200</v>
      </c>
    </row>
    <row r="8" spans="1:2" x14ac:dyDescent="0.35">
      <c r="A8">
        <v>8</v>
      </c>
      <c r="B8" t="s">
        <v>201</v>
      </c>
    </row>
    <row r="9" spans="1:2" x14ac:dyDescent="0.35">
      <c r="A9">
        <v>9</v>
      </c>
      <c r="B9" t="s">
        <v>202</v>
      </c>
    </row>
    <row r="10" spans="1:2" x14ac:dyDescent="0.35">
      <c r="A10">
        <v>10</v>
      </c>
      <c r="B10" t="s">
        <v>203</v>
      </c>
    </row>
    <row r="11" spans="1:2" x14ac:dyDescent="0.35">
      <c r="A11">
        <v>11</v>
      </c>
      <c r="B11" t="s">
        <v>204</v>
      </c>
    </row>
    <row r="12" spans="1:2" x14ac:dyDescent="0.35">
      <c r="A12">
        <v>12</v>
      </c>
      <c r="B12" t="s">
        <v>205</v>
      </c>
    </row>
    <row r="13" spans="1:2" x14ac:dyDescent="0.35">
      <c r="A13">
        <v>13</v>
      </c>
      <c r="B13" t="s">
        <v>206</v>
      </c>
    </row>
    <row r="14" spans="1:2" x14ac:dyDescent="0.35">
      <c r="A14">
        <v>14</v>
      </c>
      <c r="B14" t="s">
        <v>207</v>
      </c>
    </row>
    <row r="15" spans="1:2" x14ac:dyDescent="0.35">
      <c r="A15">
        <v>15</v>
      </c>
      <c r="B15" t="s">
        <v>208</v>
      </c>
    </row>
    <row r="16" spans="1:2" x14ac:dyDescent="0.35">
      <c r="A16">
        <v>16</v>
      </c>
      <c r="B16" t="s">
        <v>209</v>
      </c>
    </row>
    <row r="17" spans="1:2" x14ac:dyDescent="0.35">
      <c r="A17">
        <v>17</v>
      </c>
      <c r="B17" t="s">
        <v>210</v>
      </c>
    </row>
    <row r="18" spans="1:2" x14ac:dyDescent="0.35">
      <c r="A18">
        <v>18</v>
      </c>
      <c r="B18" t="s">
        <v>211</v>
      </c>
    </row>
    <row r="19" spans="1:2" x14ac:dyDescent="0.35">
      <c r="A19">
        <v>19</v>
      </c>
      <c r="B19" t="s">
        <v>212</v>
      </c>
    </row>
    <row r="20" spans="1:2" x14ac:dyDescent="0.35">
      <c r="A20">
        <v>20</v>
      </c>
      <c r="B20" t="s">
        <v>213</v>
      </c>
    </row>
    <row r="21" spans="1:2" x14ac:dyDescent="0.35">
      <c r="A21">
        <v>21</v>
      </c>
      <c r="B21" t="s">
        <v>214</v>
      </c>
    </row>
    <row r="22" spans="1:2" x14ac:dyDescent="0.35">
      <c r="A22">
        <v>22</v>
      </c>
      <c r="B22" t="s">
        <v>215</v>
      </c>
    </row>
    <row r="23" spans="1:2" x14ac:dyDescent="0.35">
      <c r="A23">
        <v>23</v>
      </c>
      <c r="B23" t="s">
        <v>216</v>
      </c>
    </row>
    <row r="24" spans="1:2" x14ac:dyDescent="0.35">
      <c r="A24">
        <v>24</v>
      </c>
      <c r="B24" t="s">
        <v>217</v>
      </c>
    </row>
    <row r="25" spans="1:2" x14ac:dyDescent="0.35">
      <c r="A25">
        <v>25</v>
      </c>
      <c r="B25" t="s">
        <v>218</v>
      </c>
    </row>
    <row r="26" spans="1:2" x14ac:dyDescent="0.35">
      <c r="A26">
        <v>26</v>
      </c>
      <c r="B26" t="s">
        <v>219</v>
      </c>
    </row>
    <row r="27" spans="1:2" x14ac:dyDescent="0.35">
      <c r="A27">
        <v>27</v>
      </c>
      <c r="B27" t="s">
        <v>220</v>
      </c>
    </row>
    <row r="28" spans="1:2" x14ac:dyDescent="0.35">
      <c r="A28">
        <v>28</v>
      </c>
      <c r="B28" t="s">
        <v>221</v>
      </c>
    </row>
    <row r="29" spans="1:2" x14ac:dyDescent="0.35">
      <c r="A29">
        <v>29</v>
      </c>
      <c r="B29" t="s">
        <v>222</v>
      </c>
    </row>
    <row r="31" spans="1:2" x14ac:dyDescent="0.35">
      <c r="B31" s="9"/>
    </row>
    <row r="32" spans="1:2" x14ac:dyDescent="0.35">
      <c r="B32" s="9"/>
    </row>
    <row r="37" spans="2:2" x14ac:dyDescent="0.35">
      <c r="B37" s="5"/>
    </row>
    <row r="38" spans="2:2" x14ac:dyDescent="0.35">
      <c r="B38" s="1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75907-C06F-4312-84E7-20602E6C7C3B}">
  <sheetPr codeName="Sheet2"/>
  <dimension ref="A1:X24"/>
  <sheetViews>
    <sheetView topLeftCell="S1" zoomScale="130" zoomScaleNormal="130" workbookViewId="0">
      <selection activeCell="U15" sqref="U15"/>
    </sheetView>
  </sheetViews>
  <sheetFormatPr defaultColWidth="18.453125" defaultRowHeight="14.5" x14ac:dyDescent="0.35"/>
  <cols>
    <col min="2" max="2" width="15.81640625" customWidth="1"/>
    <col min="3" max="3" width="17.08984375" customWidth="1"/>
    <col min="15" max="15" width="18.453125" customWidth="1"/>
    <col min="23" max="23" width="22.54296875" bestFit="1" customWidth="1"/>
  </cols>
  <sheetData>
    <row r="1" spans="1:24" x14ac:dyDescent="0.35">
      <c r="A1" s="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270</v>
      </c>
      <c r="J1" t="s">
        <v>271</v>
      </c>
      <c r="K1" s="1" t="s">
        <v>41</v>
      </c>
      <c r="L1" s="1" t="s">
        <v>42</v>
      </c>
      <c r="M1" s="1" t="s">
        <v>43</v>
      </c>
      <c r="N1" s="1" t="s">
        <v>0</v>
      </c>
      <c r="O1" s="1" t="s">
        <v>0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275</v>
      </c>
      <c r="W1" s="1" t="s">
        <v>0</v>
      </c>
      <c r="X1" s="1" t="s">
        <v>78</v>
      </c>
    </row>
    <row r="2" spans="1:24" x14ac:dyDescent="0.35">
      <c r="A2" t="s">
        <v>1</v>
      </c>
      <c r="B2" t="str">
        <f>UPPER(A2)</f>
        <v>JP KUMAR</v>
      </c>
      <c r="C2" t="str">
        <f>LOWER(A2)</f>
        <v>jp kumar</v>
      </c>
      <c r="D2" t="str">
        <f>PROPER(A2)</f>
        <v>Jp Kumar</v>
      </c>
      <c r="E2">
        <f>LEN(A2)</f>
        <v>8</v>
      </c>
      <c r="F2" t="str">
        <f>LEFT(A2,4)</f>
        <v>JP K</v>
      </c>
      <c r="G2" t="str">
        <f>RIGHT(A2,3)</f>
        <v>mar</v>
      </c>
      <c r="H2" t="str">
        <f>MID(A2,4,3)</f>
        <v>Kum</v>
      </c>
      <c r="I2" t="str">
        <f>LEFT(A2,LEN(A2)/2)</f>
        <v>JP K</v>
      </c>
      <c r="J2" t="str">
        <f>RIGHT(A2,ROUND(LEN(A2)/2,0))</f>
        <v>umar</v>
      </c>
      <c r="K2" t="s">
        <v>22</v>
      </c>
      <c r="L2" t="s">
        <v>23</v>
      </c>
      <c r="M2" t="str">
        <f>_xlfn.CONCAT(K2," ",L2)</f>
        <v>JP Kumar</v>
      </c>
      <c r="N2" t="s">
        <v>1</v>
      </c>
      <c r="O2" t="s">
        <v>44</v>
      </c>
      <c r="P2" t="b">
        <f>EXACT(N2,O2)</f>
        <v>0</v>
      </c>
      <c r="Q2" t="b">
        <f>N2=O2</f>
        <v>1</v>
      </c>
      <c r="R2">
        <f>FIND("a",M2)</f>
        <v>7</v>
      </c>
      <c r="S2">
        <f>SEARCH("a",M2)</f>
        <v>7</v>
      </c>
      <c r="T2" t="str">
        <f>REPLACE(M2,4,2,"a")</f>
        <v>JP amar</v>
      </c>
      <c r="U2" t="str">
        <f>SUBSTITUTE(M2,"Ku","a")</f>
        <v>JP amar</v>
      </c>
      <c r="V2" t="str">
        <f>SUBSTITUTE(M2,"a","$",2)</f>
        <v>JP Kumar</v>
      </c>
      <c r="W2" t="s">
        <v>77</v>
      </c>
      <c r="X2" t="str">
        <f>TRIM(W2)</f>
        <v>JP Kumar</v>
      </c>
    </row>
    <row r="3" spans="1:24" x14ac:dyDescent="0.35">
      <c r="A3" t="s">
        <v>11</v>
      </c>
      <c r="B3" t="str">
        <f>UPPER(A3)</f>
        <v>ANJALI THAKUR</v>
      </c>
      <c r="C3" t="str">
        <f t="shared" ref="C3:C11" si="0">LOWER(A3)</f>
        <v>anjali thakur</v>
      </c>
      <c r="D3" t="str">
        <f t="shared" ref="D3:D11" si="1">PROPER(A3)</f>
        <v>Anjali Thakur</v>
      </c>
      <c r="E3">
        <f t="shared" ref="E3:E11" si="2">LEN(A3)</f>
        <v>13</v>
      </c>
      <c r="F3" t="str">
        <f t="shared" ref="F3:F11" si="3">LEFT(A3,4)</f>
        <v>Anja</v>
      </c>
      <c r="G3" t="str">
        <f t="shared" ref="G3:G11" si="4">RIGHT(A3,3)</f>
        <v>kur</v>
      </c>
      <c r="H3" t="str">
        <f t="shared" ref="H3:H11" si="5">MID(A3,4,3)</f>
        <v>ali</v>
      </c>
      <c r="I3" t="str">
        <f>LEFT(A3,LEN(A3)/2)</f>
        <v>Anjali</v>
      </c>
      <c r="J3" t="str">
        <f t="shared" ref="J3:J11" si="6">RIGHT(A3,ROUND(LEN(A3)/2,0))</f>
        <v xml:space="preserve"> THakur</v>
      </c>
      <c r="K3" t="s">
        <v>24</v>
      </c>
      <c r="L3" t="s">
        <v>25</v>
      </c>
      <c r="M3" t="str">
        <f t="shared" ref="M3:M11" si="7">_xlfn.CONCAT(K3," ",L3)</f>
        <v>Anjali THakur</v>
      </c>
      <c r="N3" t="s">
        <v>11</v>
      </c>
      <c r="O3" t="s">
        <v>2</v>
      </c>
      <c r="P3" t="b">
        <f t="shared" ref="P3:P11" si="8">EXACT(N3,O3)</f>
        <v>0</v>
      </c>
      <c r="Q3" t="b">
        <f t="shared" ref="Q3:Q11" si="9">N3=O3</f>
        <v>1</v>
      </c>
      <c r="R3">
        <f t="shared" ref="R3:R11" si="10">FIND("a",M3)</f>
        <v>4</v>
      </c>
      <c r="S3">
        <f t="shared" ref="S3:S11" si="11">SEARCH("a",M3)</f>
        <v>1</v>
      </c>
      <c r="T3" t="str">
        <f t="shared" ref="T3:T11" si="12">REPLACE(M3,4,2,"a")</f>
        <v>Anjai THakur</v>
      </c>
      <c r="U3" t="str">
        <f t="shared" ref="U3:U11" si="13">SUBSTITUTE(M3,"Ku","a")</f>
        <v>Anjali THakur</v>
      </c>
      <c r="V3" t="str">
        <f t="shared" ref="V3:V11" si="14">SUBSTITUTE(M3,"a","$",2)</f>
        <v>Anjali TH$kur</v>
      </c>
      <c r="W3" t="s">
        <v>68</v>
      </c>
      <c r="X3" t="str">
        <f t="shared" ref="X3:X11" si="15">TRIM(W3)</f>
        <v>Anjali THakur</v>
      </c>
    </row>
    <row r="4" spans="1:24" x14ac:dyDescent="0.35">
      <c r="A4" t="s">
        <v>12</v>
      </c>
      <c r="B4" t="str">
        <f>UPPER(A4)</f>
        <v>PRIYA AGARWAL</v>
      </c>
      <c r="C4" t="str">
        <f t="shared" si="0"/>
        <v>priya agarwal</v>
      </c>
      <c r="D4" t="str">
        <f t="shared" si="1"/>
        <v>Priya Agarwal</v>
      </c>
      <c r="E4">
        <f t="shared" si="2"/>
        <v>13</v>
      </c>
      <c r="F4" t="str">
        <f t="shared" si="3"/>
        <v>Priy</v>
      </c>
      <c r="G4" t="str">
        <f t="shared" si="4"/>
        <v>waL</v>
      </c>
      <c r="H4" t="str">
        <f t="shared" si="5"/>
        <v xml:space="preserve">ya </v>
      </c>
      <c r="I4" t="str">
        <f t="shared" ref="I4:I11" si="16">LEFT(A4,LEN(A4)/2)</f>
        <v xml:space="preserve">Priya </v>
      </c>
      <c r="J4" t="str">
        <f t="shared" si="6"/>
        <v>AgarwaL</v>
      </c>
      <c r="K4" t="s">
        <v>26</v>
      </c>
      <c r="L4" t="s">
        <v>27</v>
      </c>
      <c r="M4" t="str">
        <f t="shared" si="7"/>
        <v>Priya AgarwaL</v>
      </c>
      <c r="N4" t="s">
        <v>12</v>
      </c>
      <c r="O4" t="s">
        <v>3</v>
      </c>
      <c r="P4" t="b">
        <f t="shared" si="8"/>
        <v>0</v>
      </c>
      <c r="Q4" t="b">
        <f t="shared" si="9"/>
        <v>1</v>
      </c>
      <c r="R4">
        <f t="shared" si="10"/>
        <v>5</v>
      </c>
      <c r="S4">
        <f t="shared" si="11"/>
        <v>5</v>
      </c>
      <c r="T4" t="str">
        <f t="shared" si="12"/>
        <v>Pria AgarwaL</v>
      </c>
      <c r="U4" t="str">
        <f t="shared" si="13"/>
        <v>Priya AgarwaL</v>
      </c>
      <c r="V4" t="str">
        <f t="shared" si="14"/>
        <v>Priya Ag$rwaL</v>
      </c>
      <c r="W4" t="s">
        <v>69</v>
      </c>
      <c r="X4" t="str">
        <f t="shared" si="15"/>
        <v>Priya AgarwaL</v>
      </c>
    </row>
    <row r="5" spans="1:24" x14ac:dyDescent="0.35">
      <c r="A5" t="s">
        <v>4</v>
      </c>
      <c r="B5" t="str">
        <f>UPPER(A5)</f>
        <v>R VASU</v>
      </c>
      <c r="C5" t="str">
        <f t="shared" si="0"/>
        <v>r vasu</v>
      </c>
      <c r="D5" t="str">
        <f t="shared" si="1"/>
        <v>R Vasu</v>
      </c>
      <c r="E5">
        <f t="shared" si="2"/>
        <v>6</v>
      </c>
      <c r="F5" t="str">
        <f t="shared" si="3"/>
        <v>R Va</v>
      </c>
      <c r="G5" t="str">
        <f t="shared" si="4"/>
        <v>asu</v>
      </c>
      <c r="H5" t="str">
        <f t="shared" si="5"/>
        <v>asu</v>
      </c>
      <c r="I5" t="str">
        <f t="shared" si="16"/>
        <v>R V</v>
      </c>
      <c r="J5" t="str">
        <f t="shared" si="6"/>
        <v>asu</v>
      </c>
      <c r="K5" t="s">
        <v>28</v>
      </c>
      <c r="L5" t="s">
        <v>29</v>
      </c>
      <c r="M5" t="str">
        <f t="shared" si="7"/>
        <v>R Vasu</v>
      </c>
      <c r="N5" t="s">
        <v>4</v>
      </c>
      <c r="O5" t="s">
        <v>4</v>
      </c>
      <c r="P5" t="b">
        <f t="shared" si="8"/>
        <v>1</v>
      </c>
      <c r="Q5" t="b">
        <f t="shared" si="9"/>
        <v>1</v>
      </c>
      <c r="R5">
        <f t="shared" si="10"/>
        <v>4</v>
      </c>
      <c r="S5">
        <f t="shared" si="11"/>
        <v>4</v>
      </c>
      <c r="T5" t="str">
        <f t="shared" si="12"/>
        <v>R Vau</v>
      </c>
      <c r="U5" t="str">
        <f t="shared" si="13"/>
        <v>R Vasu</v>
      </c>
      <c r="V5" t="str">
        <f t="shared" si="14"/>
        <v>R Vasu</v>
      </c>
      <c r="W5" t="s">
        <v>70</v>
      </c>
      <c r="X5" t="str">
        <f t="shared" si="15"/>
        <v>R Vasu</v>
      </c>
    </row>
    <row r="6" spans="1:24" x14ac:dyDescent="0.35">
      <c r="A6" t="s">
        <v>13</v>
      </c>
      <c r="B6" t="str">
        <f t="shared" ref="B6:B11" si="17">UPPER(A6)</f>
        <v>SANJAY GUPTA</v>
      </c>
      <c r="C6" t="str">
        <f t="shared" si="0"/>
        <v>sanjay gupta</v>
      </c>
      <c r="D6" t="str">
        <f t="shared" si="1"/>
        <v>Sanjay Gupta</v>
      </c>
      <c r="E6">
        <f t="shared" si="2"/>
        <v>12</v>
      </c>
      <c r="F6" t="str">
        <f t="shared" si="3"/>
        <v>Sanj</v>
      </c>
      <c r="G6" t="str">
        <f t="shared" si="4"/>
        <v>ptA</v>
      </c>
      <c r="H6" t="str">
        <f t="shared" si="5"/>
        <v>jay</v>
      </c>
      <c r="I6" t="str">
        <f t="shared" si="16"/>
        <v>Sanjay</v>
      </c>
      <c r="J6" t="str">
        <f t="shared" si="6"/>
        <v xml:space="preserve"> GuptA</v>
      </c>
      <c r="K6" t="s">
        <v>30</v>
      </c>
      <c r="L6" t="s">
        <v>31</v>
      </c>
      <c r="M6" t="str">
        <f t="shared" si="7"/>
        <v>Sanjay GuptA</v>
      </c>
      <c r="N6" t="s">
        <v>244</v>
      </c>
      <c r="O6" t="s">
        <v>5</v>
      </c>
      <c r="P6" t="b">
        <f t="shared" si="8"/>
        <v>0</v>
      </c>
      <c r="Q6" t="b">
        <f t="shared" si="9"/>
        <v>0</v>
      </c>
      <c r="R6">
        <f t="shared" si="10"/>
        <v>2</v>
      </c>
      <c r="S6">
        <f t="shared" si="11"/>
        <v>2</v>
      </c>
      <c r="T6" t="str">
        <f t="shared" si="12"/>
        <v>Sanay GuptA</v>
      </c>
      <c r="U6" t="str">
        <f t="shared" si="13"/>
        <v>Sanjay GuptA</v>
      </c>
      <c r="V6" t="str">
        <f t="shared" si="14"/>
        <v>Sanj$y GuptA</v>
      </c>
      <c r="W6" t="s">
        <v>71</v>
      </c>
      <c r="X6" t="str">
        <f t="shared" si="15"/>
        <v>Sanjay GuptA</v>
      </c>
    </row>
    <row r="7" spans="1:24" x14ac:dyDescent="0.35">
      <c r="A7" t="s">
        <v>6</v>
      </c>
      <c r="B7" t="str">
        <f t="shared" si="17"/>
        <v>JHARNA BISWAL</v>
      </c>
      <c r="C7" t="str">
        <f t="shared" si="0"/>
        <v>jharna biswal</v>
      </c>
      <c r="D7" t="str">
        <f t="shared" si="1"/>
        <v>Jharna Biswal</v>
      </c>
      <c r="E7">
        <f t="shared" si="2"/>
        <v>13</v>
      </c>
      <c r="F7" t="str">
        <f t="shared" si="3"/>
        <v>Jhar</v>
      </c>
      <c r="G7" t="str">
        <f t="shared" si="4"/>
        <v>wal</v>
      </c>
      <c r="H7" t="str">
        <f t="shared" si="5"/>
        <v>rna</v>
      </c>
      <c r="I7" t="str">
        <f t="shared" si="16"/>
        <v>Jharna</v>
      </c>
      <c r="J7" t="str">
        <f t="shared" si="6"/>
        <v xml:space="preserve"> Biswal</v>
      </c>
      <c r="K7" t="s">
        <v>32</v>
      </c>
      <c r="L7" t="s">
        <v>33</v>
      </c>
      <c r="M7" t="str">
        <f t="shared" si="7"/>
        <v>Jharna Biswal</v>
      </c>
      <c r="N7" t="s">
        <v>6</v>
      </c>
      <c r="O7" t="s">
        <v>6</v>
      </c>
      <c r="P7" t="b">
        <f t="shared" si="8"/>
        <v>1</v>
      </c>
      <c r="Q7" t="b">
        <f t="shared" si="9"/>
        <v>1</v>
      </c>
      <c r="R7">
        <f t="shared" si="10"/>
        <v>3</v>
      </c>
      <c r="S7">
        <f t="shared" si="11"/>
        <v>3</v>
      </c>
      <c r="T7" t="str">
        <f t="shared" si="12"/>
        <v>Jhaaa Biswal</v>
      </c>
      <c r="U7" t="str">
        <f t="shared" si="13"/>
        <v>Jharna Biswal</v>
      </c>
      <c r="V7" t="str">
        <f t="shared" si="14"/>
        <v>Jharn$ Biswal</v>
      </c>
      <c r="W7" t="s">
        <v>72</v>
      </c>
      <c r="X7" t="str">
        <f t="shared" si="15"/>
        <v>Jharna Biswal</v>
      </c>
    </row>
    <row r="8" spans="1:24" x14ac:dyDescent="0.35">
      <c r="A8" t="s">
        <v>7</v>
      </c>
      <c r="B8" t="str">
        <f t="shared" si="17"/>
        <v>PRAKASH DUTTA</v>
      </c>
      <c r="C8" t="str">
        <f t="shared" si="0"/>
        <v>prakash dutta</v>
      </c>
      <c r="D8" t="str">
        <f t="shared" si="1"/>
        <v>Prakash Dutta</v>
      </c>
      <c r="E8">
        <f t="shared" si="2"/>
        <v>13</v>
      </c>
      <c r="F8" t="str">
        <f t="shared" si="3"/>
        <v>Prak</v>
      </c>
      <c r="G8" t="str">
        <f t="shared" si="4"/>
        <v>tta</v>
      </c>
      <c r="H8" t="str">
        <f t="shared" si="5"/>
        <v>kas</v>
      </c>
      <c r="I8" t="str">
        <f t="shared" si="16"/>
        <v>Prakas</v>
      </c>
      <c r="J8" t="str">
        <f t="shared" si="6"/>
        <v>h Dutta</v>
      </c>
      <c r="K8" t="s">
        <v>34</v>
      </c>
      <c r="L8" t="s">
        <v>35</v>
      </c>
      <c r="M8" t="str">
        <f t="shared" si="7"/>
        <v>Prakash Dutta</v>
      </c>
      <c r="N8" t="s">
        <v>7</v>
      </c>
      <c r="O8" t="s">
        <v>7</v>
      </c>
      <c r="P8" t="b">
        <f t="shared" si="8"/>
        <v>1</v>
      </c>
      <c r="Q8" t="b">
        <f t="shared" si="9"/>
        <v>1</v>
      </c>
      <c r="R8">
        <f t="shared" si="10"/>
        <v>3</v>
      </c>
      <c r="S8">
        <f t="shared" si="11"/>
        <v>3</v>
      </c>
      <c r="T8" t="str">
        <f t="shared" si="12"/>
        <v>Praash Dutta</v>
      </c>
      <c r="U8" t="str">
        <f t="shared" si="13"/>
        <v>Prakash Dutta</v>
      </c>
      <c r="V8" t="str">
        <f t="shared" si="14"/>
        <v>Prak$sh Dutta</v>
      </c>
      <c r="W8" t="s">
        <v>73</v>
      </c>
      <c r="X8" t="str">
        <f t="shared" si="15"/>
        <v>Prakash Dutta</v>
      </c>
    </row>
    <row r="9" spans="1:24" x14ac:dyDescent="0.35">
      <c r="A9" t="s">
        <v>8</v>
      </c>
      <c r="B9" t="str">
        <f t="shared" si="17"/>
        <v>MANISHA GUHA</v>
      </c>
      <c r="C9" t="str">
        <f t="shared" si="0"/>
        <v>manisha guha</v>
      </c>
      <c r="D9" t="str">
        <f t="shared" si="1"/>
        <v>Manisha Guha</v>
      </c>
      <c r="E9">
        <f t="shared" si="2"/>
        <v>12</v>
      </c>
      <c r="F9" t="str">
        <f t="shared" si="3"/>
        <v>Mani</v>
      </c>
      <c r="G9" t="str">
        <f t="shared" si="4"/>
        <v>uha</v>
      </c>
      <c r="H9" t="str">
        <f t="shared" si="5"/>
        <v>ish</v>
      </c>
      <c r="I9" t="str">
        <f t="shared" si="16"/>
        <v>Manish</v>
      </c>
      <c r="J9" t="str">
        <f t="shared" si="6"/>
        <v>a Guha</v>
      </c>
      <c r="K9" t="s">
        <v>36</v>
      </c>
      <c r="L9" t="s">
        <v>37</v>
      </c>
      <c r="M9" t="str">
        <f t="shared" si="7"/>
        <v>Manisha Guha</v>
      </c>
      <c r="N9" t="s">
        <v>8</v>
      </c>
      <c r="O9" t="s">
        <v>8</v>
      </c>
      <c r="P9" t="b">
        <f t="shared" si="8"/>
        <v>1</v>
      </c>
      <c r="Q9" t="b">
        <f t="shared" si="9"/>
        <v>1</v>
      </c>
      <c r="R9">
        <f t="shared" si="10"/>
        <v>2</v>
      </c>
      <c r="S9">
        <f t="shared" si="11"/>
        <v>2</v>
      </c>
      <c r="T9" t="str">
        <f t="shared" si="12"/>
        <v>Manaha Guha</v>
      </c>
      <c r="U9" t="str">
        <f t="shared" si="13"/>
        <v>Manisha Guha</v>
      </c>
      <c r="V9" t="str">
        <f t="shared" si="14"/>
        <v>Manish$ Guha</v>
      </c>
      <c r="W9" t="s">
        <v>74</v>
      </c>
      <c r="X9" t="str">
        <f t="shared" si="15"/>
        <v>Manisha Guha</v>
      </c>
    </row>
    <row r="10" spans="1:24" x14ac:dyDescent="0.35">
      <c r="A10" t="s">
        <v>14</v>
      </c>
      <c r="B10" t="str">
        <f t="shared" si="17"/>
        <v>ARJUN JAIN</v>
      </c>
      <c r="C10" t="str">
        <f t="shared" si="0"/>
        <v>arjun jain</v>
      </c>
      <c r="D10" t="str">
        <f t="shared" si="1"/>
        <v>Arjun Jain</v>
      </c>
      <c r="E10">
        <f t="shared" si="2"/>
        <v>10</v>
      </c>
      <c r="F10" t="str">
        <f t="shared" si="3"/>
        <v>Arju</v>
      </c>
      <c r="G10" t="str">
        <f t="shared" si="4"/>
        <v>AiN</v>
      </c>
      <c r="H10" t="str">
        <f t="shared" si="5"/>
        <v xml:space="preserve">un </v>
      </c>
      <c r="I10" t="str">
        <f t="shared" si="16"/>
        <v>Arjun</v>
      </c>
      <c r="J10" t="str">
        <f t="shared" si="6"/>
        <v xml:space="preserve"> JAiN</v>
      </c>
      <c r="K10" t="s">
        <v>38</v>
      </c>
      <c r="L10" t="s">
        <v>39</v>
      </c>
      <c r="M10" t="str">
        <f t="shared" si="7"/>
        <v>Arjun JAiN</v>
      </c>
      <c r="N10" t="s">
        <v>14</v>
      </c>
      <c r="O10" t="s">
        <v>9</v>
      </c>
      <c r="P10" t="b">
        <f t="shared" si="8"/>
        <v>0</v>
      </c>
      <c r="Q10" t="b">
        <f t="shared" si="9"/>
        <v>1</v>
      </c>
      <c r="R10" t="e">
        <f t="shared" si="10"/>
        <v>#VALUE!</v>
      </c>
      <c r="S10">
        <f t="shared" si="11"/>
        <v>1</v>
      </c>
      <c r="T10" t="str">
        <f t="shared" si="12"/>
        <v>Arja JAiN</v>
      </c>
      <c r="U10" t="str">
        <f t="shared" si="13"/>
        <v>Arjun JAiN</v>
      </c>
      <c r="V10" t="str">
        <f t="shared" si="14"/>
        <v>Arjun JAiN</v>
      </c>
      <c r="W10" t="s">
        <v>75</v>
      </c>
      <c r="X10" t="str">
        <f t="shared" si="15"/>
        <v>Arjun JAiN</v>
      </c>
    </row>
    <row r="11" spans="1:24" x14ac:dyDescent="0.35">
      <c r="A11" t="s">
        <v>10</v>
      </c>
      <c r="B11" t="str">
        <f t="shared" si="17"/>
        <v>ARJUN KAPOOR</v>
      </c>
      <c r="C11" t="str">
        <f t="shared" si="0"/>
        <v>arjun kapoor</v>
      </c>
      <c r="D11" t="str">
        <f t="shared" si="1"/>
        <v>Arjun Kapoor</v>
      </c>
      <c r="E11">
        <f t="shared" si="2"/>
        <v>12</v>
      </c>
      <c r="F11" t="str">
        <f t="shared" si="3"/>
        <v>Arju</v>
      </c>
      <c r="G11" t="str">
        <f t="shared" si="4"/>
        <v>oor</v>
      </c>
      <c r="H11" t="str">
        <f t="shared" si="5"/>
        <v xml:space="preserve">un </v>
      </c>
      <c r="I11" t="str">
        <f t="shared" si="16"/>
        <v xml:space="preserve">Arjun </v>
      </c>
      <c r="J11" t="str">
        <f t="shared" si="6"/>
        <v>Kapoor</v>
      </c>
      <c r="K11" t="s">
        <v>38</v>
      </c>
      <c r="L11" t="s">
        <v>40</v>
      </c>
      <c r="M11" t="str">
        <f t="shared" si="7"/>
        <v>Arjun Kapoor</v>
      </c>
      <c r="N11" t="s">
        <v>10</v>
      </c>
      <c r="O11" t="s">
        <v>10</v>
      </c>
      <c r="P11" t="b">
        <f t="shared" si="8"/>
        <v>1</v>
      </c>
      <c r="Q11" t="b">
        <f t="shared" si="9"/>
        <v>1</v>
      </c>
      <c r="R11">
        <f t="shared" si="10"/>
        <v>8</v>
      </c>
      <c r="S11">
        <f t="shared" si="11"/>
        <v>1</v>
      </c>
      <c r="T11" t="str">
        <f t="shared" si="12"/>
        <v>Arja Kapoor</v>
      </c>
      <c r="U11" t="str">
        <f t="shared" si="13"/>
        <v>Arjun Kapoor</v>
      </c>
      <c r="V11" t="str">
        <f t="shared" si="14"/>
        <v>Arjun Kapoor</v>
      </c>
      <c r="W11" t="s">
        <v>76</v>
      </c>
      <c r="X11" t="str">
        <f t="shared" si="15"/>
        <v>Arjun Kapoor</v>
      </c>
    </row>
    <row r="13" spans="1:24" x14ac:dyDescent="0.35">
      <c r="P13" t="s">
        <v>272</v>
      </c>
      <c r="Q13" t="s">
        <v>273</v>
      </c>
      <c r="U13" t="s">
        <v>274</v>
      </c>
    </row>
    <row r="15" spans="1:24" x14ac:dyDescent="0.35">
      <c r="A15" t="s">
        <v>263</v>
      </c>
    </row>
    <row r="16" spans="1:24" x14ac:dyDescent="0.35">
      <c r="A16" t="s">
        <v>264</v>
      </c>
    </row>
    <row r="18" spans="1:1" x14ac:dyDescent="0.35">
      <c r="A18" t="s">
        <v>265</v>
      </c>
    </row>
    <row r="19" spans="1:1" x14ac:dyDescent="0.35">
      <c r="A19" t="s">
        <v>266</v>
      </c>
    </row>
    <row r="20" spans="1:1" x14ac:dyDescent="0.35">
      <c r="A20" t="s">
        <v>267</v>
      </c>
    </row>
    <row r="21" spans="1:1" x14ac:dyDescent="0.35">
      <c r="A21" t="s">
        <v>268</v>
      </c>
    </row>
    <row r="24" spans="1:1" x14ac:dyDescent="0.35">
      <c r="A24" t="s">
        <v>269</v>
      </c>
    </row>
  </sheetData>
  <dataValidations count="1">
    <dataValidation type="custom" allowBlank="1" showInputMessage="1" showErrorMessage="1" sqref="A1:A11 K1:K11 N1:N11 W1:W11" xr:uid="{D16A34D6-7D5F-4275-A3B1-EFE8C37F9B1B}">
      <formula1>ISTEXT(A1)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C8368-3C7D-46E1-92B9-499A93241FF7}">
  <sheetPr codeName="Sheet3"/>
  <dimension ref="A1:K16"/>
  <sheetViews>
    <sheetView zoomScale="84" zoomScaleNormal="145" workbookViewId="0">
      <selection activeCell="G23" sqref="G23"/>
    </sheetView>
  </sheetViews>
  <sheetFormatPr defaultRowHeight="14.5" x14ac:dyDescent="0.35"/>
  <cols>
    <col min="1" max="1" width="14.81640625" bestFit="1" customWidth="1"/>
    <col min="2" max="2" width="8.36328125" bestFit="1" customWidth="1"/>
    <col min="3" max="3" width="13.36328125" customWidth="1"/>
    <col min="4" max="4" width="12.453125" bestFit="1" customWidth="1"/>
  </cols>
  <sheetData>
    <row r="1" spans="1:11" x14ac:dyDescent="0.35">
      <c r="A1" s="1" t="s">
        <v>0</v>
      </c>
      <c r="C1" s="1" t="s">
        <v>0</v>
      </c>
    </row>
    <row r="2" spans="1:11" x14ac:dyDescent="0.35">
      <c r="A2" t="s">
        <v>1</v>
      </c>
      <c r="C2" t="s">
        <v>1</v>
      </c>
    </row>
    <row r="3" spans="1:11" x14ac:dyDescent="0.35">
      <c r="A3" t="s">
        <v>11</v>
      </c>
      <c r="C3" t="s">
        <v>11</v>
      </c>
    </row>
    <row r="4" spans="1:11" x14ac:dyDescent="0.35">
      <c r="A4" t="s">
        <v>12</v>
      </c>
      <c r="C4" t="s">
        <v>12</v>
      </c>
    </row>
    <row r="5" spans="1:11" x14ac:dyDescent="0.35">
      <c r="A5" t="s">
        <v>4</v>
      </c>
      <c r="C5" t="s">
        <v>4</v>
      </c>
    </row>
    <row r="6" spans="1:11" x14ac:dyDescent="0.35">
      <c r="A6" t="s">
        <v>13</v>
      </c>
      <c r="C6" t="s">
        <v>13</v>
      </c>
    </row>
    <row r="7" spans="1:11" x14ac:dyDescent="0.35">
      <c r="A7" t="s">
        <v>6</v>
      </c>
      <c r="C7" t="s">
        <v>6</v>
      </c>
      <c r="E7" t="s">
        <v>51</v>
      </c>
      <c r="F7" t="s">
        <v>52</v>
      </c>
    </row>
    <row r="8" spans="1:11" x14ac:dyDescent="0.35">
      <c r="A8" t="s">
        <v>7</v>
      </c>
      <c r="C8" t="s">
        <v>7</v>
      </c>
      <c r="E8" t="s">
        <v>53</v>
      </c>
      <c r="F8" t="s">
        <v>54</v>
      </c>
    </row>
    <row r="9" spans="1:11" x14ac:dyDescent="0.35">
      <c r="A9" t="s">
        <v>8</v>
      </c>
      <c r="C9" t="s">
        <v>8</v>
      </c>
    </row>
    <row r="10" spans="1:11" x14ac:dyDescent="0.35">
      <c r="A10" t="s">
        <v>14</v>
      </c>
      <c r="C10" t="s">
        <v>14</v>
      </c>
    </row>
    <row r="11" spans="1:11" x14ac:dyDescent="0.35">
      <c r="A11" t="s">
        <v>10</v>
      </c>
      <c r="C11" t="s">
        <v>10</v>
      </c>
    </row>
    <row r="16" spans="1:11" x14ac:dyDescent="0.35">
      <c r="A16" s="1" t="s">
        <v>0</v>
      </c>
      <c r="B16" t="s">
        <v>1</v>
      </c>
      <c r="C16" t="s">
        <v>11</v>
      </c>
      <c r="D16" t="s">
        <v>12</v>
      </c>
      <c r="E16" t="s">
        <v>4</v>
      </c>
      <c r="F16" t="s">
        <v>13</v>
      </c>
      <c r="G16" t="s">
        <v>6</v>
      </c>
      <c r="H16" t="s">
        <v>7</v>
      </c>
      <c r="I16" t="s">
        <v>8</v>
      </c>
      <c r="J16" t="s">
        <v>14</v>
      </c>
      <c r="K16" t="s">
        <v>10</v>
      </c>
    </row>
  </sheetData>
  <dataValidations count="1">
    <dataValidation type="custom" allowBlank="1" showInputMessage="1" showErrorMessage="1" sqref="A1:A11 A16:K16 D1:M1 C1:C11" xr:uid="{C95029C3-8471-4B41-9053-F0FE44BDC0D0}">
      <formula1>ISTEXT(A1)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CE262-9FEF-46EA-837D-1EE911D82688}">
  <sheetPr codeName="Sheet4"/>
  <dimension ref="A1:F15"/>
  <sheetViews>
    <sheetView zoomScale="81" zoomScaleNormal="170" workbookViewId="0">
      <selection activeCell="I8" sqref="I8"/>
    </sheetView>
  </sheetViews>
  <sheetFormatPr defaultRowHeight="14.5" x14ac:dyDescent="0.35"/>
  <cols>
    <col min="1" max="1" width="14.81640625" bestFit="1" customWidth="1"/>
    <col min="2" max="2" width="14.453125" bestFit="1" customWidth="1"/>
    <col min="5" max="5" width="60.54296875" bestFit="1" customWidth="1"/>
    <col min="6" max="6" width="14.453125" bestFit="1" customWidth="1"/>
    <col min="7" max="7" width="14" customWidth="1"/>
    <col min="8" max="8" width="14.453125" bestFit="1" customWidth="1"/>
  </cols>
  <sheetData>
    <row r="1" spans="1:6" x14ac:dyDescent="0.35">
      <c r="A1" s="1" t="s">
        <v>0</v>
      </c>
      <c r="B1" s="1" t="s">
        <v>0</v>
      </c>
      <c r="E1" s="1" t="s">
        <v>0</v>
      </c>
      <c r="F1" t="str">
        <f>E1</f>
        <v>Employee Name</v>
      </c>
    </row>
    <row r="2" spans="1:6" x14ac:dyDescent="0.35">
      <c r="A2" t="s">
        <v>1</v>
      </c>
      <c r="B2" t="s">
        <v>1</v>
      </c>
      <c r="E2" t="s">
        <v>1</v>
      </c>
      <c r="F2" t="str">
        <f t="shared" ref="F2:F11" si="0">E2</f>
        <v>JP Kumar</v>
      </c>
    </row>
    <row r="3" spans="1:6" x14ac:dyDescent="0.35">
      <c r="A3" t="s">
        <v>11</v>
      </c>
      <c r="B3" t="s">
        <v>11</v>
      </c>
      <c r="E3" t="s">
        <v>11</v>
      </c>
      <c r="F3" t="str">
        <f t="shared" si="0"/>
        <v>Anjali THakur</v>
      </c>
    </row>
    <row r="4" spans="1:6" x14ac:dyDescent="0.35">
      <c r="A4" t="s">
        <v>245</v>
      </c>
      <c r="B4" t="s">
        <v>245</v>
      </c>
      <c r="E4" t="s">
        <v>245</v>
      </c>
      <c r="F4" t="str">
        <f t="shared" si="0"/>
        <v>Priya Sharma</v>
      </c>
    </row>
    <row r="5" spans="1:6" x14ac:dyDescent="0.35">
      <c r="A5" t="s">
        <v>4</v>
      </c>
      <c r="B5" t="s">
        <v>4</v>
      </c>
      <c r="E5" t="s">
        <v>4</v>
      </c>
      <c r="F5" t="str">
        <f t="shared" si="0"/>
        <v>R Vasu</v>
      </c>
    </row>
    <row r="6" spans="1:6" x14ac:dyDescent="0.35">
      <c r="A6" t="s">
        <v>13</v>
      </c>
      <c r="B6" t="s">
        <v>13</v>
      </c>
      <c r="E6" t="s">
        <v>13</v>
      </c>
      <c r="F6" t="str">
        <f t="shared" si="0"/>
        <v>Sanjay GuptA</v>
      </c>
    </row>
    <row r="7" spans="1:6" x14ac:dyDescent="0.35">
      <c r="A7" t="s">
        <v>6</v>
      </c>
      <c r="B7" t="s">
        <v>6</v>
      </c>
      <c r="E7" t="s">
        <v>6</v>
      </c>
      <c r="F7" t="str">
        <f t="shared" si="0"/>
        <v>Jharna Biswal</v>
      </c>
    </row>
    <row r="8" spans="1:6" x14ac:dyDescent="0.35">
      <c r="A8" t="s">
        <v>7</v>
      </c>
      <c r="B8" t="s">
        <v>7</v>
      </c>
      <c r="E8" t="s">
        <v>7</v>
      </c>
      <c r="F8" t="str">
        <f t="shared" si="0"/>
        <v>Prakash Dutta</v>
      </c>
    </row>
    <row r="9" spans="1:6" x14ac:dyDescent="0.35">
      <c r="A9" t="s">
        <v>8</v>
      </c>
      <c r="B9" t="s">
        <v>8</v>
      </c>
      <c r="E9" t="s">
        <v>8</v>
      </c>
      <c r="F9" t="str">
        <f t="shared" si="0"/>
        <v>Manisha Guha</v>
      </c>
    </row>
    <row r="10" spans="1:6" x14ac:dyDescent="0.35">
      <c r="A10" t="s">
        <v>246</v>
      </c>
      <c r="B10" t="s">
        <v>246</v>
      </c>
      <c r="E10" t="s">
        <v>246</v>
      </c>
      <c r="F10" t="str">
        <f t="shared" si="0"/>
        <v>Arjun Reddy</v>
      </c>
    </row>
    <row r="11" spans="1:6" x14ac:dyDescent="0.35">
      <c r="A11" t="s">
        <v>10</v>
      </c>
      <c r="B11" t="s">
        <v>10</v>
      </c>
      <c r="E11" t="s">
        <v>10</v>
      </c>
      <c r="F11" t="str">
        <f t="shared" si="0"/>
        <v>Arjun Kapoor</v>
      </c>
    </row>
    <row r="13" spans="1:6" x14ac:dyDescent="0.35">
      <c r="E13" t="s">
        <v>276</v>
      </c>
    </row>
    <row r="14" spans="1:6" x14ac:dyDescent="0.35">
      <c r="E14" t="s">
        <v>277</v>
      </c>
    </row>
    <row r="15" spans="1:6" x14ac:dyDescent="0.35">
      <c r="E15" t="s">
        <v>278</v>
      </c>
    </row>
  </sheetData>
  <dataValidations count="1">
    <dataValidation type="custom" allowBlank="1" showInputMessage="1" showErrorMessage="1" sqref="A1:B11 E1:E11" xr:uid="{79866225-5C9C-426B-8775-BE9B691F3B1D}">
      <formula1>ISTEXT(A1)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635EE-99EA-4F49-9970-799191533C09}">
  <sheetPr codeName="Sheet6"/>
  <dimension ref="A1:J16"/>
  <sheetViews>
    <sheetView zoomScale="124" zoomScaleNormal="190" workbookViewId="0">
      <selection activeCell="K13" sqref="K13"/>
    </sheetView>
  </sheetViews>
  <sheetFormatPr defaultRowHeight="14.5" x14ac:dyDescent="0.35"/>
  <cols>
    <col min="9" max="9" width="12.7265625" bestFit="1" customWidth="1"/>
  </cols>
  <sheetData>
    <row r="1" spans="1:10" x14ac:dyDescent="0.35">
      <c r="A1" t="s">
        <v>56</v>
      </c>
      <c r="B1" t="s">
        <v>57</v>
      </c>
      <c r="C1" t="s">
        <v>58</v>
      </c>
      <c r="D1" t="s">
        <v>59</v>
      </c>
      <c r="E1" t="s">
        <v>60</v>
      </c>
      <c r="H1" t="s">
        <v>61</v>
      </c>
      <c r="I1">
        <v>10</v>
      </c>
      <c r="J1">
        <v>-1</v>
      </c>
    </row>
    <row r="2" spans="1:10" x14ac:dyDescent="0.35">
      <c r="A2">
        <v>54</v>
      </c>
      <c r="B2">
        <v>87</v>
      </c>
      <c r="C2">
        <v>-14</v>
      </c>
      <c r="D2">
        <v>1728</v>
      </c>
      <c r="E2">
        <v>0.1111111111111111</v>
      </c>
      <c r="H2">
        <v>54</v>
      </c>
      <c r="I2">
        <f>H2*$I$1</f>
        <v>540</v>
      </c>
      <c r="J2">
        <f>H2*-($J$1)</f>
        <v>54</v>
      </c>
    </row>
    <row r="3" spans="1:10" x14ac:dyDescent="0.35">
      <c r="A3">
        <v>16</v>
      </c>
      <c r="B3">
        <v>30</v>
      </c>
      <c r="C3">
        <v>22</v>
      </c>
      <c r="D3">
        <v>256</v>
      </c>
      <c r="E3">
        <v>1.875</v>
      </c>
      <c r="H3">
        <v>16</v>
      </c>
      <c r="I3">
        <f t="shared" ref="I3:I10" si="0">H3*$I$1</f>
        <v>160</v>
      </c>
      <c r="J3">
        <f t="shared" ref="J3:J10" si="1">H3*-($J$1)</f>
        <v>16</v>
      </c>
    </row>
    <row r="4" spans="1:10" x14ac:dyDescent="0.35">
      <c r="A4">
        <v>55</v>
      </c>
      <c r="B4">
        <v>100</v>
      </c>
      <c r="C4">
        <v>-14</v>
      </c>
      <c r="D4">
        <v>1705</v>
      </c>
      <c r="E4">
        <v>7.2727272727272724E-2</v>
      </c>
      <c r="H4">
        <v>55</v>
      </c>
      <c r="I4">
        <f t="shared" si="0"/>
        <v>550</v>
      </c>
      <c r="J4">
        <f t="shared" si="1"/>
        <v>55</v>
      </c>
    </row>
    <row r="5" spans="1:10" x14ac:dyDescent="0.35">
      <c r="A5">
        <v>28</v>
      </c>
      <c r="B5">
        <v>75</v>
      </c>
      <c r="C5">
        <v>-9</v>
      </c>
      <c r="D5">
        <v>1148</v>
      </c>
      <c r="E5">
        <v>7.1428571428571425E-2</v>
      </c>
      <c r="H5">
        <v>28</v>
      </c>
      <c r="I5">
        <f t="shared" si="0"/>
        <v>280</v>
      </c>
      <c r="J5">
        <f t="shared" si="1"/>
        <v>28</v>
      </c>
    </row>
    <row r="6" spans="1:10" x14ac:dyDescent="0.35">
      <c r="A6">
        <v>34</v>
      </c>
      <c r="B6">
        <v>76</v>
      </c>
      <c r="C6">
        <v>-16</v>
      </c>
      <c r="D6">
        <v>782</v>
      </c>
      <c r="E6">
        <v>1.2058823529411764</v>
      </c>
      <c r="H6">
        <v>34</v>
      </c>
      <c r="I6">
        <f t="shared" si="0"/>
        <v>340</v>
      </c>
      <c r="J6">
        <f t="shared" si="1"/>
        <v>34</v>
      </c>
    </row>
    <row r="7" spans="1:10" x14ac:dyDescent="0.35">
      <c r="A7">
        <v>55</v>
      </c>
      <c r="B7">
        <v>100</v>
      </c>
      <c r="C7">
        <v>-23</v>
      </c>
      <c r="D7">
        <v>2310</v>
      </c>
      <c r="E7">
        <v>0.50909090909090904</v>
      </c>
      <c r="H7">
        <v>55</v>
      </c>
      <c r="I7">
        <f t="shared" si="0"/>
        <v>550</v>
      </c>
      <c r="J7">
        <f t="shared" si="1"/>
        <v>55</v>
      </c>
    </row>
    <row r="8" spans="1:10" x14ac:dyDescent="0.35">
      <c r="A8">
        <v>63</v>
      </c>
      <c r="B8">
        <v>105</v>
      </c>
      <c r="C8">
        <v>-40</v>
      </c>
      <c r="D8">
        <v>567</v>
      </c>
      <c r="E8">
        <v>9.5238095238095233E-2</v>
      </c>
      <c r="H8">
        <v>63</v>
      </c>
      <c r="I8">
        <f t="shared" si="0"/>
        <v>630</v>
      </c>
      <c r="J8">
        <f t="shared" si="1"/>
        <v>63</v>
      </c>
    </row>
    <row r="9" spans="1:10" x14ac:dyDescent="0.35">
      <c r="A9">
        <v>28</v>
      </c>
      <c r="B9">
        <v>74</v>
      </c>
      <c r="C9">
        <v>-13</v>
      </c>
      <c r="D9">
        <v>532</v>
      </c>
      <c r="E9">
        <v>0.6428571428571429</v>
      </c>
      <c r="H9">
        <v>28</v>
      </c>
      <c r="I9">
        <f t="shared" si="0"/>
        <v>280</v>
      </c>
      <c r="J9">
        <f t="shared" si="1"/>
        <v>28</v>
      </c>
    </row>
    <row r="10" spans="1:10" x14ac:dyDescent="0.35">
      <c r="A10">
        <v>52</v>
      </c>
      <c r="B10">
        <v>97</v>
      </c>
      <c r="C10">
        <v>-9</v>
      </c>
      <c r="D10">
        <v>988</v>
      </c>
      <c r="E10">
        <v>0.63461538461538458</v>
      </c>
      <c r="H10">
        <v>52</v>
      </c>
      <c r="I10">
        <f t="shared" si="0"/>
        <v>520</v>
      </c>
      <c r="J10">
        <f t="shared" si="1"/>
        <v>52</v>
      </c>
    </row>
    <row r="11" spans="1:10" x14ac:dyDescent="0.35">
      <c r="B11" t="s">
        <v>283</v>
      </c>
      <c r="C11" t="s">
        <v>284</v>
      </c>
      <c r="D11" t="s">
        <v>285</v>
      </c>
      <c r="E11" t="s">
        <v>286</v>
      </c>
    </row>
    <row r="12" spans="1:10" x14ac:dyDescent="0.35">
      <c r="A12" t="s">
        <v>279</v>
      </c>
      <c r="B12" t="s">
        <v>282</v>
      </c>
      <c r="H12" t="s">
        <v>287</v>
      </c>
      <c r="I12" t="s">
        <v>288</v>
      </c>
    </row>
    <row r="13" spans="1:10" x14ac:dyDescent="0.35">
      <c r="A13">
        <f ca="1">RAND()</f>
        <v>0.45881098805503706</v>
      </c>
      <c r="I13" t="s">
        <v>289</v>
      </c>
    </row>
    <row r="15" spans="1:10" x14ac:dyDescent="0.35">
      <c r="A15" t="s">
        <v>280</v>
      </c>
    </row>
    <row r="16" spans="1:10" x14ac:dyDescent="0.35">
      <c r="A16" s="13" t="s">
        <v>281</v>
      </c>
      <c r="B16" s="13"/>
      <c r="C16" s="13"/>
      <c r="D16" s="13"/>
    </row>
  </sheetData>
  <mergeCells count="1">
    <mergeCell ref="A16:D1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184E8-5ED5-4908-B896-9965F809130A}">
  <sheetPr codeName="Sheet7"/>
  <dimension ref="A1:Y18"/>
  <sheetViews>
    <sheetView topLeftCell="A6" zoomScaleNormal="100" workbookViewId="0">
      <selection activeCell="E27" sqref="E27"/>
    </sheetView>
  </sheetViews>
  <sheetFormatPr defaultRowHeight="14.5" x14ac:dyDescent="0.35"/>
  <cols>
    <col min="2" max="2" width="14.7265625" bestFit="1" customWidth="1"/>
    <col min="3" max="3" width="19.90625" bestFit="1" customWidth="1"/>
    <col min="4" max="4" width="35.1796875" bestFit="1" customWidth="1"/>
    <col min="5" max="5" width="35.7265625" bestFit="1" customWidth="1"/>
    <col min="9" max="9" width="13.81640625" bestFit="1" customWidth="1"/>
    <col min="12" max="12" width="11.54296875" bestFit="1" customWidth="1"/>
    <col min="15" max="15" width="11.26953125" bestFit="1" customWidth="1"/>
    <col min="18" max="18" width="23.453125" bestFit="1" customWidth="1"/>
    <col min="19" max="19" width="18.453125" bestFit="1" customWidth="1"/>
  </cols>
  <sheetData>
    <row r="1" spans="1:25" x14ac:dyDescent="0.35">
      <c r="A1" t="s">
        <v>56</v>
      </c>
      <c r="B1" t="s">
        <v>62</v>
      </c>
      <c r="C1" t="s">
        <v>63</v>
      </c>
      <c r="D1" t="s">
        <v>64</v>
      </c>
      <c r="E1" t="s">
        <v>65</v>
      </c>
      <c r="G1" t="s">
        <v>56</v>
      </c>
      <c r="H1" t="s">
        <v>66</v>
      </c>
      <c r="I1" t="s">
        <v>67</v>
      </c>
      <c r="J1" t="s">
        <v>247</v>
      </c>
      <c r="K1" t="s">
        <v>56</v>
      </c>
      <c r="L1" t="s">
        <v>79</v>
      </c>
      <c r="N1" t="s">
        <v>56</v>
      </c>
      <c r="O1" t="s">
        <v>248</v>
      </c>
      <c r="Q1" t="s">
        <v>56</v>
      </c>
      <c r="R1" t="s">
        <v>87</v>
      </c>
      <c r="S1" t="s">
        <v>88</v>
      </c>
      <c r="U1" t="s">
        <v>56</v>
      </c>
      <c r="V1" t="s">
        <v>89</v>
      </c>
      <c r="X1" t="s">
        <v>56</v>
      </c>
      <c r="Y1" t="s">
        <v>166</v>
      </c>
    </row>
    <row r="2" spans="1:25" x14ac:dyDescent="0.35">
      <c r="A2">
        <v>5.46</v>
      </c>
      <c r="B2">
        <f>INT(A2)</f>
        <v>5</v>
      </c>
      <c r="C2">
        <f>ROUND(A2,0)</f>
        <v>5</v>
      </c>
      <c r="D2">
        <f>ROUNDUP(A2,0)</f>
        <v>6</v>
      </c>
      <c r="E2">
        <f>ROUNDDOWN(A2,0)</f>
        <v>5</v>
      </c>
      <c r="G2">
        <v>4</v>
      </c>
      <c r="H2">
        <v>2</v>
      </c>
      <c r="I2">
        <f>POWER(G2,H2)</f>
        <v>16</v>
      </c>
      <c r="J2">
        <f>G2^H2</f>
        <v>16</v>
      </c>
      <c r="K2">
        <v>4</v>
      </c>
      <c r="L2" t="str">
        <f>ROMAN(K2)</f>
        <v>IV</v>
      </c>
      <c r="N2" t="s">
        <v>80</v>
      </c>
      <c r="O2">
        <f>_xlfn.ARABIC(N2)</f>
        <v>4</v>
      </c>
      <c r="Q2">
        <v>4</v>
      </c>
      <c r="R2" t="str">
        <f>REPT(Q2,5)</f>
        <v>44444</v>
      </c>
      <c r="S2" t="str">
        <f>REPT($S$1,Q2)</f>
        <v>****</v>
      </c>
      <c r="U2">
        <v>25</v>
      </c>
      <c r="V2">
        <f>SQRT(U2)</f>
        <v>5</v>
      </c>
      <c r="X2">
        <v>-25</v>
      </c>
      <c r="Y2">
        <f>ABS(X2)</f>
        <v>25</v>
      </c>
    </row>
    <row r="3" spans="1:25" x14ac:dyDescent="0.35">
      <c r="A3">
        <v>1.6</v>
      </c>
      <c r="B3">
        <f t="shared" ref="B3:B10" si="0">INT(A3)</f>
        <v>1</v>
      </c>
      <c r="C3">
        <f t="shared" ref="C3:C10" si="1">ROUND(A3,0)</f>
        <v>2</v>
      </c>
      <c r="D3">
        <f t="shared" ref="D3:D10" si="2">ROUNDUP(A3,0)</f>
        <v>2</v>
      </c>
      <c r="E3">
        <f t="shared" ref="E3:E10" si="3">ROUNDDOWN(A3,0)</f>
        <v>1</v>
      </c>
      <c r="G3">
        <v>6</v>
      </c>
      <c r="H3">
        <v>3</v>
      </c>
      <c r="I3">
        <f t="shared" ref="I3:I9" si="4">POWER(G3,H3)</f>
        <v>216</v>
      </c>
      <c r="J3">
        <f t="shared" ref="J3:J9" si="5">G3^H3</f>
        <v>216</v>
      </c>
      <c r="K3">
        <v>6</v>
      </c>
      <c r="L3" t="str">
        <f t="shared" ref="L3:L9" si="6">ROMAN(K3)</f>
        <v>VI</v>
      </c>
      <c r="N3" t="s">
        <v>81</v>
      </c>
      <c r="O3">
        <f t="shared" ref="O3:O9" si="7">_xlfn.ARABIC(N3)</f>
        <v>6</v>
      </c>
      <c r="Q3">
        <v>6</v>
      </c>
      <c r="R3" t="str">
        <f t="shared" ref="R3:R9" si="8">REPT(Q3,5)</f>
        <v>66666</v>
      </c>
      <c r="S3" t="str">
        <f t="shared" ref="S3:S9" si="9">REPT($S$1,Q3)</f>
        <v>******</v>
      </c>
      <c r="U3">
        <v>4</v>
      </c>
      <c r="V3">
        <f t="shared" ref="V3:V9" si="10">SQRT(U3)</f>
        <v>2</v>
      </c>
      <c r="X3">
        <v>-4</v>
      </c>
      <c r="Y3">
        <f t="shared" ref="Y3:Y9" si="11">ABS(X3)</f>
        <v>4</v>
      </c>
    </row>
    <row r="4" spans="1:25" x14ac:dyDescent="0.35">
      <c r="A4">
        <v>5.5</v>
      </c>
      <c r="B4">
        <f t="shared" si="0"/>
        <v>5</v>
      </c>
      <c r="C4">
        <f t="shared" si="1"/>
        <v>6</v>
      </c>
      <c r="D4">
        <f t="shared" si="2"/>
        <v>6</v>
      </c>
      <c r="E4">
        <f t="shared" si="3"/>
        <v>5</v>
      </c>
      <c r="G4">
        <v>2</v>
      </c>
      <c r="H4">
        <v>3</v>
      </c>
      <c r="I4">
        <f t="shared" si="4"/>
        <v>8</v>
      </c>
      <c r="J4">
        <f t="shared" si="5"/>
        <v>8</v>
      </c>
      <c r="K4">
        <v>2</v>
      </c>
      <c r="L4" t="str">
        <f t="shared" si="6"/>
        <v>II</v>
      </c>
      <c r="N4" t="s">
        <v>82</v>
      </c>
      <c r="O4">
        <f t="shared" si="7"/>
        <v>2</v>
      </c>
      <c r="Q4">
        <v>2</v>
      </c>
      <c r="R4" t="str">
        <f t="shared" si="8"/>
        <v>22222</v>
      </c>
      <c r="S4" t="str">
        <f t="shared" si="9"/>
        <v>**</v>
      </c>
      <c r="U4">
        <v>16</v>
      </c>
      <c r="V4">
        <f t="shared" si="10"/>
        <v>4</v>
      </c>
      <c r="X4">
        <v>-16</v>
      </c>
      <c r="Y4">
        <f t="shared" si="11"/>
        <v>16</v>
      </c>
    </row>
    <row r="5" spans="1:25" x14ac:dyDescent="0.35">
      <c r="A5">
        <v>2.8</v>
      </c>
      <c r="B5">
        <f t="shared" si="0"/>
        <v>2</v>
      </c>
      <c r="C5">
        <f t="shared" si="1"/>
        <v>3</v>
      </c>
      <c r="D5">
        <f t="shared" si="2"/>
        <v>3</v>
      </c>
      <c r="E5">
        <f t="shared" si="3"/>
        <v>2</v>
      </c>
      <c r="G5">
        <v>8</v>
      </c>
      <c r="H5">
        <v>2</v>
      </c>
      <c r="I5">
        <f t="shared" si="4"/>
        <v>64</v>
      </c>
      <c r="J5">
        <f t="shared" si="5"/>
        <v>64</v>
      </c>
      <c r="K5">
        <v>8</v>
      </c>
      <c r="L5" t="str">
        <f t="shared" si="6"/>
        <v>VIII</v>
      </c>
      <c r="N5" t="s">
        <v>83</v>
      </c>
      <c r="O5">
        <f t="shared" si="7"/>
        <v>8</v>
      </c>
      <c r="Q5">
        <v>8</v>
      </c>
      <c r="R5" t="str">
        <f t="shared" si="8"/>
        <v>88888</v>
      </c>
      <c r="S5" t="str">
        <f t="shared" si="9"/>
        <v>********</v>
      </c>
      <c r="U5">
        <v>125</v>
      </c>
      <c r="V5">
        <f t="shared" si="10"/>
        <v>11.180339887498949</v>
      </c>
      <c r="X5">
        <v>-125</v>
      </c>
      <c r="Y5">
        <f t="shared" si="11"/>
        <v>125</v>
      </c>
    </row>
    <row r="6" spans="1:25" x14ac:dyDescent="0.35">
      <c r="A6">
        <v>3.4</v>
      </c>
      <c r="B6">
        <f t="shared" si="0"/>
        <v>3</v>
      </c>
      <c r="C6">
        <f t="shared" si="1"/>
        <v>3</v>
      </c>
      <c r="D6">
        <f t="shared" si="2"/>
        <v>4</v>
      </c>
      <c r="E6">
        <f t="shared" si="3"/>
        <v>3</v>
      </c>
      <c r="G6">
        <v>5</v>
      </c>
      <c r="H6">
        <v>2</v>
      </c>
      <c r="I6">
        <f t="shared" si="4"/>
        <v>25</v>
      </c>
      <c r="J6">
        <f t="shared" si="5"/>
        <v>25</v>
      </c>
      <c r="K6">
        <v>5</v>
      </c>
      <c r="L6" t="str">
        <f t="shared" si="6"/>
        <v>V</v>
      </c>
      <c r="N6" t="s">
        <v>84</v>
      </c>
      <c r="O6">
        <f t="shared" si="7"/>
        <v>5</v>
      </c>
      <c r="Q6">
        <v>5</v>
      </c>
      <c r="R6" t="str">
        <f t="shared" si="8"/>
        <v>55555</v>
      </c>
      <c r="S6" t="str">
        <f t="shared" si="9"/>
        <v>*****</v>
      </c>
      <c r="U6">
        <v>625</v>
      </c>
      <c r="V6">
        <f t="shared" si="10"/>
        <v>25</v>
      </c>
      <c r="X6">
        <v>-625</v>
      </c>
      <c r="Y6">
        <f t="shared" si="11"/>
        <v>625</v>
      </c>
    </row>
    <row r="7" spans="1:25" x14ac:dyDescent="0.35">
      <c r="A7">
        <v>5.5</v>
      </c>
      <c r="B7">
        <f t="shared" si="0"/>
        <v>5</v>
      </c>
      <c r="C7">
        <f t="shared" si="1"/>
        <v>6</v>
      </c>
      <c r="D7">
        <f t="shared" si="2"/>
        <v>6</v>
      </c>
      <c r="E7">
        <f t="shared" si="3"/>
        <v>5</v>
      </c>
      <c r="G7">
        <v>9</v>
      </c>
      <c r="H7">
        <v>3</v>
      </c>
      <c r="I7">
        <f t="shared" si="4"/>
        <v>729</v>
      </c>
      <c r="J7">
        <f t="shared" si="5"/>
        <v>729</v>
      </c>
      <c r="K7">
        <v>9</v>
      </c>
      <c r="L7" t="str">
        <f t="shared" si="6"/>
        <v>IX</v>
      </c>
      <c r="N7" t="s">
        <v>85</v>
      </c>
      <c r="O7">
        <f t="shared" si="7"/>
        <v>9</v>
      </c>
      <c r="Q7">
        <v>9</v>
      </c>
      <c r="R7" t="str">
        <f t="shared" si="8"/>
        <v>99999</v>
      </c>
      <c r="S7" t="str">
        <f t="shared" si="9"/>
        <v>*********</v>
      </c>
      <c r="U7">
        <v>81</v>
      </c>
      <c r="V7">
        <f t="shared" si="10"/>
        <v>9</v>
      </c>
      <c r="X7">
        <v>-81</v>
      </c>
      <c r="Y7">
        <f t="shared" si="11"/>
        <v>81</v>
      </c>
    </row>
    <row r="8" spans="1:25" x14ac:dyDescent="0.35">
      <c r="A8">
        <v>6.3</v>
      </c>
      <c r="B8">
        <f t="shared" si="0"/>
        <v>6</v>
      </c>
      <c r="C8">
        <f t="shared" si="1"/>
        <v>6</v>
      </c>
      <c r="D8">
        <f t="shared" si="2"/>
        <v>7</v>
      </c>
      <c r="E8">
        <f t="shared" si="3"/>
        <v>6</v>
      </c>
      <c r="G8">
        <v>2</v>
      </c>
      <c r="H8">
        <v>3</v>
      </c>
      <c r="I8">
        <f t="shared" si="4"/>
        <v>8</v>
      </c>
      <c r="J8">
        <f t="shared" si="5"/>
        <v>8</v>
      </c>
      <c r="K8">
        <v>2</v>
      </c>
      <c r="L8" t="str">
        <f t="shared" si="6"/>
        <v>II</v>
      </c>
      <c r="N8" t="s">
        <v>82</v>
      </c>
      <c r="O8">
        <f t="shared" si="7"/>
        <v>2</v>
      </c>
      <c r="Q8">
        <v>2</v>
      </c>
      <c r="R8" t="str">
        <f t="shared" si="8"/>
        <v>22222</v>
      </c>
      <c r="S8" t="str">
        <f t="shared" si="9"/>
        <v>**</v>
      </c>
      <c r="U8">
        <v>36</v>
      </c>
      <c r="V8">
        <f t="shared" si="10"/>
        <v>6</v>
      </c>
      <c r="X8">
        <v>-36</v>
      </c>
      <c r="Y8">
        <f t="shared" si="11"/>
        <v>36</v>
      </c>
    </row>
    <row r="9" spans="1:25" x14ac:dyDescent="0.35">
      <c r="A9">
        <v>2.8</v>
      </c>
      <c r="B9">
        <f t="shared" si="0"/>
        <v>2</v>
      </c>
      <c r="C9">
        <f t="shared" si="1"/>
        <v>3</v>
      </c>
      <c r="D9">
        <f t="shared" si="2"/>
        <v>3</v>
      </c>
      <c r="E9">
        <f t="shared" si="3"/>
        <v>2</v>
      </c>
      <c r="G9">
        <v>7</v>
      </c>
      <c r="H9">
        <v>2</v>
      </c>
      <c r="I9">
        <f t="shared" si="4"/>
        <v>49</v>
      </c>
      <c r="J9">
        <f t="shared" si="5"/>
        <v>49</v>
      </c>
      <c r="K9">
        <v>7</v>
      </c>
      <c r="L9" t="str">
        <f t="shared" si="6"/>
        <v>VII</v>
      </c>
      <c r="N9" t="s">
        <v>86</v>
      </c>
      <c r="O9">
        <f t="shared" si="7"/>
        <v>7</v>
      </c>
      <c r="Q9">
        <v>7</v>
      </c>
      <c r="R9" t="str">
        <f t="shared" si="8"/>
        <v>77777</v>
      </c>
      <c r="S9" t="str">
        <f t="shared" si="9"/>
        <v>*******</v>
      </c>
      <c r="U9">
        <v>49</v>
      </c>
      <c r="V9">
        <f t="shared" si="10"/>
        <v>7</v>
      </c>
      <c r="X9">
        <v>-49</v>
      </c>
      <c r="Y9">
        <f t="shared" si="11"/>
        <v>49</v>
      </c>
    </row>
    <row r="10" spans="1:25" x14ac:dyDescent="0.35">
      <c r="A10">
        <v>5.2</v>
      </c>
      <c r="B10">
        <f t="shared" si="0"/>
        <v>5</v>
      </c>
      <c r="C10">
        <f t="shared" si="1"/>
        <v>5</v>
      </c>
      <c r="D10">
        <f t="shared" si="2"/>
        <v>6</v>
      </c>
      <c r="E10">
        <f t="shared" si="3"/>
        <v>5</v>
      </c>
    </row>
    <row r="13" spans="1:25" x14ac:dyDescent="0.35">
      <c r="B13" t="s">
        <v>290</v>
      </c>
      <c r="C13" t="s">
        <v>291</v>
      </c>
      <c r="D13" t="s">
        <v>292</v>
      </c>
      <c r="E13" t="s">
        <v>293</v>
      </c>
    </row>
    <row r="14" spans="1:25" x14ac:dyDescent="0.35">
      <c r="B14" t="s">
        <v>294</v>
      </c>
      <c r="C14" t="s">
        <v>295</v>
      </c>
      <c r="D14" t="s">
        <v>296</v>
      </c>
      <c r="I14" t="s">
        <v>297</v>
      </c>
      <c r="J14" t="s">
        <v>298</v>
      </c>
      <c r="L14" t="s">
        <v>299</v>
      </c>
      <c r="O14" t="s">
        <v>300</v>
      </c>
      <c r="R14" t="s">
        <v>301</v>
      </c>
      <c r="S14" t="s">
        <v>302</v>
      </c>
      <c r="V14" t="s">
        <v>303</v>
      </c>
      <c r="Y14" t="s">
        <v>304</v>
      </c>
    </row>
    <row r="15" spans="1:25" x14ac:dyDescent="0.35">
      <c r="R15" t="s">
        <v>305</v>
      </c>
    </row>
    <row r="17" spans="2:3" x14ac:dyDescent="0.35">
      <c r="B17">
        <v>34.368200000000002</v>
      </c>
      <c r="C17">
        <f>ROUND(B17,2)</f>
        <v>34.369999999999997</v>
      </c>
    </row>
    <row r="18" spans="2:3" x14ac:dyDescent="0.35">
      <c r="B18">
        <v>34.273099999999999</v>
      </c>
      <c r="C18">
        <f>ROUND(B18,2)</f>
        <v>34.270000000000003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40B8A-933F-4454-B6E1-803F16D7713B}">
  <sheetPr codeName="Sheet8"/>
  <dimension ref="A1:M35"/>
  <sheetViews>
    <sheetView zoomScale="98" zoomScaleNormal="98" workbookViewId="0">
      <selection activeCell="H10" sqref="H10"/>
    </sheetView>
  </sheetViews>
  <sheetFormatPr defaultRowHeight="14.5" x14ac:dyDescent="0.35"/>
  <cols>
    <col min="1" max="1" width="9.54296875" bestFit="1" customWidth="1"/>
    <col min="2" max="2" width="14.81640625" bestFit="1" customWidth="1"/>
    <col min="3" max="3" width="15.81640625" customWidth="1"/>
    <col min="4" max="4" width="9.81640625" bestFit="1" customWidth="1"/>
    <col min="5" max="5" width="6.81640625" bestFit="1" customWidth="1"/>
    <col min="6" max="6" width="11.08984375" bestFit="1" customWidth="1"/>
    <col min="7" max="7" width="10.81640625" bestFit="1" customWidth="1"/>
    <col min="8" max="8" width="11" customWidth="1"/>
    <col min="9" max="9" width="12.1796875" bestFit="1" customWidth="1"/>
    <col min="10" max="11" width="13.08984375" customWidth="1"/>
    <col min="12" max="12" width="69.1796875" bestFit="1" customWidth="1"/>
  </cols>
  <sheetData>
    <row r="1" spans="1:13" x14ac:dyDescent="0.35">
      <c r="A1" s="1" t="s">
        <v>440</v>
      </c>
      <c r="B1" s="1" t="s">
        <v>0</v>
      </c>
      <c r="C1" s="1" t="s">
        <v>90</v>
      </c>
      <c r="D1" s="1" t="s">
        <v>91</v>
      </c>
      <c r="E1" s="1" t="s">
        <v>55</v>
      </c>
      <c r="F1" s="1" t="s">
        <v>92</v>
      </c>
      <c r="G1" s="2" t="s">
        <v>93</v>
      </c>
      <c r="H1" s="1" t="s">
        <v>261</v>
      </c>
    </row>
    <row r="2" spans="1:13" x14ac:dyDescent="0.35">
      <c r="A2">
        <v>1</v>
      </c>
      <c r="B2" t="s">
        <v>1</v>
      </c>
      <c r="C2" t="s">
        <v>94</v>
      </c>
      <c r="D2" t="s">
        <v>95</v>
      </c>
      <c r="E2" t="s">
        <v>96</v>
      </c>
      <c r="F2" t="s">
        <v>97</v>
      </c>
      <c r="G2" s="3">
        <v>10000</v>
      </c>
      <c r="H2">
        <f>RANK(G2,$G$2:$G$21,)</f>
        <v>8</v>
      </c>
    </row>
    <row r="3" spans="1:13" x14ac:dyDescent="0.35">
      <c r="A3">
        <v>2</v>
      </c>
      <c r="B3" t="s">
        <v>2</v>
      </c>
      <c r="C3" t="s">
        <v>98</v>
      </c>
      <c r="D3" t="s">
        <v>99</v>
      </c>
      <c r="E3" t="s">
        <v>100</v>
      </c>
      <c r="F3" t="s">
        <v>101</v>
      </c>
      <c r="G3" s="3">
        <v>12000</v>
      </c>
      <c r="H3">
        <f t="shared" ref="H3:H21" si="0">RANK(G3,$G$2:$G$21,)</f>
        <v>3</v>
      </c>
      <c r="I3" t="s">
        <v>249</v>
      </c>
      <c r="J3" s="3">
        <f>SUM(G2:G21)</f>
        <v>184600</v>
      </c>
      <c r="K3" s="3"/>
    </row>
    <row r="4" spans="1:13" x14ac:dyDescent="0.35">
      <c r="A4">
        <v>3</v>
      </c>
      <c r="B4" t="s">
        <v>3</v>
      </c>
      <c r="C4" t="s">
        <v>102</v>
      </c>
      <c r="E4" t="s">
        <v>100</v>
      </c>
      <c r="F4" t="s">
        <v>104</v>
      </c>
      <c r="G4" s="3">
        <v>11250</v>
      </c>
      <c r="H4">
        <f t="shared" si="0"/>
        <v>5</v>
      </c>
      <c r="I4" t="s">
        <v>250</v>
      </c>
      <c r="J4" s="3">
        <f>AVERAGE(G2:G21)</f>
        <v>9230</v>
      </c>
      <c r="K4" s="3"/>
    </row>
    <row r="5" spans="1:13" x14ac:dyDescent="0.35">
      <c r="A5">
        <v>4</v>
      </c>
      <c r="B5" t="s">
        <v>4</v>
      </c>
      <c r="C5" t="s">
        <v>105</v>
      </c>
      <c r="D5" t="s">
        <v>106</v>
      </c>
      <c r="E5" t="s">
        <v>107</v>
      </c>
      <c r="F5" t="s">
        <v>108</v>
      </c>
      <c r="G5" s="3">
        <v>12000</v>
      </c>
      <c r="H5">
        <f t="shared" si="0"/>
        <v>3</v>
      </c>
      <c r="I5" t="s">
        <v>251</v>
      </c>
      <c r="J5" s="3">
        <f>MAX(G2:G21)</f>
        <v>16250</v>
      </c>
      <c r="K5" s="3"/>
    </row>
    <row r="6" spans="1:13" x14ac:dyDescent="0.35">
      <c r="A6">
        <v>5</v>
      </c>
      <c r="B6" t="s">
        <v>5</v>
      </c>
      <c r="D6" t="s">
        <v>99</v>
      </c>
      <c r="E6" t="s">
        <v>100</v>
      </c>
      <c r="F6" t="s">
        <v>97</v>
      </c>
      <c r="G6" s="3">
        <v>16250</v>
      </c>
      <c r="H6">
        <f t="shared" si="0"/>
        <v>1</v>
      </c>
      <c r="I6" t="s">
        <v>252</v>
      </c>
      <c r="J6" s="3">
        <f>MIN(G2:G21)</f>
        <v>4500</v>
      </c>
      <c r="K6" s="3"/>
    </row>
    <row r="7" spans="1:13" x14ac:dyDescent="0.35">
      <c r="A7">
        <v>6</v>
      </c>
      <c r="B7" t="s">
        <v>6</v>
      </c>
      <c r="C7" t="s">
        <v>109</v>
      </c>
      <c r="D7" t="s">
        <v>110</v>
      </c>
      <c r="E7" t="s">
        <v>111</v>
      </c>
      <c r="F7" t="s">
        <v>101</v>
      </c>
      <c r="G7" s="3">
        <v>6400</v>
      </c>
      <c r="H7">
        <f t="shared" si="0"/>
        <v>13</v>
      </c>
      <c r="I7" t="s">
        <v>253</v>
      </c>
      <c r="J7">
        <f>COUNT(G2:G21)</f>
        <v>20</v>
      </c>
    </row>
    <row r="8" spans="1:13" x14ac:dyDescent="0.35">
      <c r="A8">
        <v>7</v>
      </c>
      <c r="B8" t="s">
        <v>7</v>
      </c>
      <c r="C8" t="s">
        <v>112</v>
      </c>
      <c r="D8" t="s">
        <v>113</v>
      </c>
      <c r="E8" t="s">
        <v>111</v>
      </c>
      <c r="F8" t="s">
        <v>104</v>
      </c>
      <c r="G8" s="3">
        <v>4500</v>
      </c>
      <c r="H8">
        <f t="shared" si="0"/>
        <v>19</v>
      </c>
      <c r="I8" t="s">
        <v>254</v>
      </c>
      <c r="J8">
        <f>COUNTA(D2:D21)</f>
        <v>19</v>
      </c>
      <c r="L8" t="s">
        <v>140</v>
      </c>
      <c r="M8">
        <f>SUMIFS(G2:G21,F2:F21,F2,E2:E21,E20)</f>
        <v>16250</v>
      </c>
    </row>
    <row r="9" spans="1:13" x14ac:dyDescent="0.35">
      <c r="A9">
        <v>8</v>
      </c>
      <c r="B9" t="s">
        <v>8</v>
      </c>
      <c r="C9" t="s">
        <v>114</v>
      </c>
      <c r="D9" t="s">
        <v>113</v>
      </c>
      <c r="E9" t="s">
        <v>111</v>
      </c>
      <c r="F9" t="s">
        <v>108</v>
      </c>
      <c r="G9" s="3">
        <v>6275</v>
      </c>
      <c r="H9">
        <f t="shared" si="0"/>
        <v>15</v>
      </c>
      <c r="I9" t="s">
        <v>255</v>
      </c>
      <c r="J9">
        <f>COUNTBLANK(C2:C21)</f>
        <v>3</v>
      </c>
      <c r="L9" t="s">
        <v>141</v>
      </c>
      <c r="M9">
        <f>AVERAGEIFS(G2:G21,F2:F21,F21,E2:E21,E2)</f>
        <v>8125</v>
      </c>
    </row>
    <row r="10" spans="1:13" x14ac:dyDescent="0.35">
      <c r="A10">
        <v>9</v>
      </c>
      <c r="B10" t="s">
        <v>9</v>
      </c>
      <c r="C10" t="s">
        <v>115</v>
      </c>
      <c r="D10" t="s">
        <v>95</v>
      </c>
      <c r="E10" t="s">
        <v>96</v>
      </c>
      <c r="F10" t="s">
        <v>97</v>
      </c>
      <c r="G10" s="3">
        <v>6250</v>
      </c>
      <c r="H10">
        <f t="shared" si="0"/>
        <v>17</v>
      </c>
      <c r="I10" t="s">
        <v>256</v>
      </c>
      <c r="L10" t="s">
        <v>142</v>
      </c>
      <c r="M10">
        <f>COUNTIFS(F2:F21,F2,E2:E21,E20)</f>
        <v>2</v>
      </c>
    </row>
    <row r="11" spans="1:13" x14ac:dyDescent="0.35">
      <c r="A11">
        <v>10</v>
      </c>
      <c r="B11" t="s">
        <v>10</v>
      </c>
      <c r="D11" t="s">
        <v>116</v>
      </c>
      <c r="E11" t="s">
        <v>107</v>
      </c>
      <c r="F11" t="s">
        <v>101</v>
      </c>
      <c r="G11" s="3">
        <v>8750</v>
      </c>
      <c r="H11">
        <f t="shared" si="0"/>
        <v>11</v>
      </c>
      <c r="I11" t="s">
        <v>256</v>
      </c>
    </row>
    <row r="12" spans="1:13" x14ac:dyDescent="0.35">
      <c r="A12">
        <v>11</v>
      </c>
      <c r="B12" t="s">
        <v>117</v>
      </c>
      <c r="C12" t="s">
        <v>118</v>
      </c>
      <c r="D12" t="s">
        <v>116</v>
      </c>
      <c r="E12" t="s">
        <v>107</v>
      </c>
      <c r="F12" t="s">
        <v>104</v>
      </c>
      <c r="G12" s="3">
        <v>11250</v>
      </c>
      <c r="H12">
        <f t="shared" si="0"/>
        <v>5</v>
      </c>
      <c r="I12" t="s">
        <v>256</v>
      </c>
    </row>
    <row r="13" spans="1:13" x14ac:dyDescent="0.35">
      <c r="A13">
        <v>12</v>
      </c>
      <c r="B13" t="s">
        <v>119</v>
      </c>
      <c r="C13" t="s">
        <v>120</v>
      </c>
      <c r="D13" t="s">
        <v>121</v>
      </c>
      <c r="E13" t="s">
        <v>107</v>
      </c>
      <c r="F13" t="s">
        <v>108</v>
      </c>
      <c r="G13" s="3">
        <v>10000</v>
      </c>
      <c r="H13">
        <f t="shared" si="0"/>
        <v>8</v>
      </c>
      <c r="I13" t="s">
        <v>257</v>
      </c>
    </row>
    <row r="14" spans="1:13" x14ac:dyDescent="0.35">
      <c r="A14">
        <v>13</v>
      </c>
      <c r="B14" t="s">
        <v>122</v>
      </c>
      <c r="C14" t="s">
        <v>98</v>
      </c>
      <c r="D14" t="s">
        <v>123</v>
      </c>
      <c r="E14" t="s">
        <v>107</v>
      </c>
      <c r="F14" t="s">
        <v>97</v>
      </c>
      <c r="G14" s="3">
        <v>16250</v>
      </c>
      <c r="H14">
        <f t="shared" si="0"/>
        <v>1</v>
      </c>
      <c r="I14" t="s">
        <v>258</v>
      </c>
    </row>
    <row r="15" spans="1:13" x14ac:dyDescent="0.35">
      <c r="A15">
        <v>14</v>
      </c>
      <c r="B15" t="s">
        <v>124</v>
      </c>
      <c r="C15" t="s">
        <v>102</v>
      </c>
      <c r="D15" t="s">
        <v>121</v>
      </c>
      <c r="E15" t="s">
        <v>107</v>
      </c>
      <c r="F15" t="s">
        <v>101</v>
      </c>
      <c r="G15" s="3">
        <v>6400</v>
      </c>
      <c r="H15">
        <f t="shared" si="0"/>
        <v>13</v>
      </c>
      <c r="I15" t="s">
        <v>256</v>
      </c>
      <c r="L15" t="s">
        <v>138</v>
      </c>
    </row>
    <row r="16" spans="1:13" x14ac:dyDescent="0.35">
      <c r="A16">
        <v>15</v>
      </c>
      <c r="B16" t="s">
        <v>125</v>
      </c>
      <c r="C16" t="s">
        <v>126</v>
      </c>
      <c r="D16" t="s">
        <v>99</v>
      </c>
      <c r="E16" t="s">
        <v>100</v>
      </c>
      <c r="F16" t="s">
        <v>104</v>
      </c>
      <c r="G16" s="3">
        <v>4500</v>
      </c>
      <c r="H16">
        <f t="shared" si="0"/>
        <v>19</v>
      </c>
      <c r="I16" t="s">
        <v>259</v>
      </c>
      <c r="L16" t="s">
        <v>262</v>
      </c>
    </row>
    <row r="17" spans="1:12" x14ac:dyDescent="0.35">
      <c r="A17">
        <v>16</v>
      </c>
      <c r="B17" t="s">
        <v>127</v>
      </c>
      <c r="D17" t="s">
        <v>121</v>
      </c>
      <c r="E17" t="s">
        <v>107</v>
      </c>
      <c r="F17" t="s">
        <v>108</v>
      </c>
      <c r="G17" s="3">
        <v>6275</v>
      </c>
      <c r="H17">
        <f t="shared" si="0"/>
        <v>15</v>
      </c>
      <c r="I17" t="s">
        <v>260</v>
      </c>
      <c r="L17" t="s">
        <v>139</v>
      </c>
    </row>
    <row r="18" spans="1:12" x14ac:dyDescent="0.35">
      <c r="A18">
        <v>17</v>
      </c>
      <c r="B18" t="s">
        <v>128</v>
      </c>
      <c r="C18" t="s">
        <v>129</v>
      </c>
      <c r="D18" t="s">
        <v>95</v>
      </c>
      <c r="E18" t="s">
        <v>96</v>
      </c>
      <c r="F18" t="s">
        <v>130</v>
      </c>
      <c r="G18" s="3">
        <v>6250</v>
      </c>
      <c r="H18">
        <f t="shared" si="0"/>
        <v>17</v>
      </c>
    </row>
    <row r="19" spans="1:12" x14ac:dyDescent="0.35">
      <c r="A19">
        <v>18</v>
      </c>
      <c r="B19" t="s">
        <v>131</v>
      </c>
      <c r="C19" t="s">
        <v>132</v>
      </c>
      <c r="D19" t="s">
        <v>95</v>
      </c>
      <c r="E19" t="s">
        <v>96</v>
      </c>
      <c r="F19" t="s">
        <v>108</v>
      </c>
      <c r="G19" s="3">
        <v>8750</v>
      </c>
      <c r="H19">
        <f t="shared" si="0"/>
        <v>11</v>
      </c>
    </row>
    <row r="20" spans="1:12" x14ac:dyDescent="0.35">
      <c r="A20">
        <v>19</v>
      </c>
      <c r="B20" t="s">
        <v>133</v>
      </c>
      <c r="C20" t="s">
        <v>134</v>
      </c>
      <c r="D20" t="s">
        <v>135</v>
      </c>
      <c r="E20" t="s">
        <v>96</v>
      </c>
      <c r="F20" t="s">
        <v>130</v>
      </c>
      <c r="G20" s="3">
        <v>11250</v>
      </c>
      <c r="H20">
        <f t="shared" si="0"/>
        <v>5</v>
      </c>
    </row>
    <row r="21" spans="1:12" x14ac:dyDescent="0.35">
      <c r="A21">
        <v>20</v>
      </c>
      <c r="B21" t="s">
        <v>136</v>
      </c>
      <c r="C21" t="s">
        <v>137</v>
      </c>
      <c r="D21" t="s">
        <v>103</v>
      </c>
      <c r="E21" t="s">
        <v>100</v>
      </c>
      <c r="F21" t="s">
        <v>97</v>
      </c>
      <c r="G21" s="3">
        <v>10000</v>
      </c>
      <c r="H21">
        <f t="shared" si="0"/>
        <v>8</v>
      </c>
    </row>
    <row r="24" spans="1:12" x14ac:dyDescent="0.35">
      <c r="H24" t="s">
        <v>306</v>
      </c>
    </row>
    <row r="28" spans="1:12" x14ac:dyDescent="0.35">
      <c r="J28" t="s">
        <v>307</v>
      </c>
      <c r="K28" t="s">
        <v>308</v>
      </c>
      <c r="L28" t="s">
        <v>309</v>
      </c>
    </row>
    <row r="29" spans="1:12" x14ac:dyDescent="0.35">
      <c r="H29">
        <v>3</v>
      </c>
      <c r="I29">
        <f>RANK(H29,$H$29:$H$35,)</f>
        <v>4</v>
      </c>
    </row>
    <row r="30" spans="1:12" x14ac:dyDescent="0.35">
      <c r="H30">
        <v>5</v>
      </c>
      <c r="I30">
        <f t="shared" ref="I30:I35" si="1">RANK(H30,$H$29:$H$35,)</f>
        <v>3</v>
      </c>
    </row>
    <row r="31" spans="1:12" x14ac:dyDescent="0.35">
      <c r="H31">
        <v>3</v>
      </c>
      <c r="I31">
        <f t="shared" si="1"/>
        <v>4</v>
      </c>
    </row>
    <row r="32" spans="1:12" x14ac:dyDescent="0.35">
      <c r="H32">
        <v>6</v>
      </c>
      <c r="I32">
        <f t="shared" si="1"/>
        <v>1</v>
      </c>
    </row>
    <row r="33" spans="8:9" x14ac:dyDescent="0.35">
      <c r="H33">
        <v>1</v>
      </c>
      <c r="I33">
        <f t="shared" si="1"/>
        <v>7</v>
      </c>
    </row>
    <row r="34" spans="8:9" x14ac:dyDescent="0.35">
      <c r="H34">
        <v>2</v>
      </c>
      <c r="I34">
        <f t="shared" si="1"/>
        <v>6</v>
      </c>
    </row>
    <row r="35" spans="8:9" x14ac:dyDescent="0.35">
      <c r="H35">
        <v>6</v>
      </c>
      <c r="I35">
        <f t="shared" si="1"/>
        <v>1</v>
      </c>
    </row>
  </sheetData>
  <dataValidations count="3">
    <dataValidation type="custom" operator="greaterThanOrEqual" allowBlank="1" showInputMessage="1" showErrorMessage="1" sqref="G2:G21" xr:uid="{3AD662F0-FE57-4EEC-A99F-A5B4B8E67F0C}">
      <formula1>ISNUMBER(G2)</formula1>
    </dataValidation>
    <dataValidation type="custom" operator="greaterThanOrEqual" allowBlank="1" showInputMessage="1" showErrorMessage="1" sqref="G1" xr:uid="{7165D8F9-4347-45A9-A68A-512E5F69B77A}">
      <formula1>ISNUMBER(G2)</formula1>
    </dataValidation>
    <dataValidation type="custom" allowBlank="1" showInputMessage="1" showErrorMessage="1" sqref="B1:B21" xr:uid="{3E1DA0DF-09F8-4CC1-BC8B-6E897BC8B175}">
      <formula1>ISTEXT(B1)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003CB-9C90-48F7-903C-0D50835FB35D}">
  <sheetPr codeName="Sheet9"/>
  <dimension ref="A1:J13"/>
  <sheetViews>
    <sheetView zoomScale="110" zoomScaleNormal="130" workbookViewId="0">
      <selection activeCell="G18" sqref="G18"/>
    </sheetView>
  </sheetViews>
  <sheetFormatPr defaultRowHeight="14.5" x14ac:dyDescent="0.35"/>
  <cols>
    <col min="1" max="1" width="13.81640625" bestFit="1" customWidth="1"/>
    <col min="2" max="2" width="8.81640625" bestFit="1" customWidth="1"/>
    <col min="5" max="5" width="9.81640625" bestFit="1" customWidth="1"/>
    <col min="6" max="6" width="10.54296875" bestFit="1" customWidth="1"/>
    <col min="7" max="7" width="13.81640625" bestFit="1" customWidth="1"/>
  </cols>
  <sheetData>
    <row r="1" spans="1:10" x14ac:dyDescent="0.35">
      <c r="J1" t="s">
        <v>143</v>
      </c>
    </row>
    <row r="2" spans="1:10" x14ac:dyDescent="0.35">
      <c r="J2" s="4">
        <v>0.1</v>
      </c>
    </row>
    <row r="3" spans="1:10" x14ac:dyDescent="0.35">
      <c r="B3" s="13" t="s">
        <v>144</v>
      </c>
      <c r="C3" s="13"/>
      <c r="D3" s="13"/>
      <c r="F3" s="13" t="s">
        <v>145</v>
      </c>
      <c r="G3" s="13"/>
      <c r="H3" s="13"/>
      <c r="I3" s="13"/>
    </row>
    <row r="4" spans="1:10" x14ac:dyDescent="0.35">
      <c r="A4" t="s">
        <v>146</v>
      </c>
      <c r="B4" t="s">
        <v>147</v>
      </c>
      <c r="C4" t="s">
        <v>148</v>
      </c>
      <c r="D4" t="s">
        <v>149</v>
      </c>
      <c r="F4" t="s">
        <v>150</v>
      </c>
      <c r="G4" t="s">
        <v>151</v>
      </c>
      <c r="H4" t="s">
        <v>152</v>
      </c>
    </row>
    <row r="5" spans="1:10" x14ac:dyDescent="0.35">
      <c r="A5" t="s">
        <v>153</v>
      </c>
      <c r="B5">
        <v>23</v>
      </c>
      <c r="C5">
        <v>6.7</v>
      </c>
      <c r="D5">
        <f>B5*C5</f>
        <v>154.1</v>
      </c>
      <c r="F5" t="s">
        <v>154</v>
      </c>
      <c r="G5">
        <v>8900</v>
      </c>
      <c r="H5">
        <f>G5*$J$2</f>
        <v>890</v>
      </c>
    </row>
    <row r="6" spans="1:10" x14ac:dyDescent="0.35">
      <c r="A6" t="s">
        <v>155</v>
      </c>
      <c r="B6">
        <v>443</v>
      </c>
      <c r="C6">
        <v>4.5</v>
      </c>
      <c r="D6">
        <f t="shared" ref="D6:D11" si="0">B6*C6</f>
        <v>1993.5</v>
      </c>
      <c r="E6" s="5"/>
      <c r="F6" t="s">
        <v>156</v>
      </c>
      <c r="G6">
        <v>45000</v>
      </c>
      <c r="H6">
        <f t="shared" ref="H6:H10" si="1">G6*$J$2</f>
        <v>4500</v>
      </c>
    </row>
    <row r="7" spans="1:10" x14ac:dyDescent="0.35">
      <c r="A7" t="s">
        <v>157</v>
      </c>
      <c r="B7">
        <v>454</v>
      </c>
      <c r="C7">
        <v>6.7</v>
      </c>
      <c r="D7">
        <f t="shared" si="0"/>
        <v>3041.8</v>
      </c>
      <c r="F7" t="s">
        <v>158</v>
      </c>
      <c r="G7">
        <v>34005</v>
      </c>
      <c r="H7">
        <f t="shared" si="1"/>
        <v>3400.5</v>
      </c>
    </row>
    <row r="8" spans="1:10" x14ac:dyDescent="0.35">
      <c r="A8" t="s">
        <v>159</v>
      </c>
      <c r="B8">
        <v>65</v>
      </c>
      <c r="C8">
        <v>8.1999999999999993</v>
      </c>
      <c r="D8">
        <f t="shared" si="0"/>
        <v>533</v>
      </c>
      <c r="F8" t="s">
        <v>160</v>
      </c>
      <c r="G8">
        <v>23900</v>
      </c>
      <c r="H8">
        <f t="shared" si="1"/>
        <v>2390</v>
      </c>
    </row>
    <row r="9" spans="1:10" x14ac:dyDescent="0.35">
      <c r="A9" t="s">
        <v>161</v>
      </c>
      <c r="B9">
        <v>34</v>
      </c>
      <c r="C9">
        <v>5.5</v>
      </c>
      <c r="D9">
        <f t="shared" si="0"/>
        <v>187</v>
      </c>
      <c r="E9" s="5"/>
      <c r="F9" t="s">
        <v>162</v>
      </c>
      <c r="G9">
        <v>32000</v>
      </c>
      <c r="H9">
        <f t="shared" si="1"/>
        <v>3200</v>
      </c>
    </row>
    <row r="10" spans="1:10" x14ac:dyDescent="0.35">
      <c r="A10" t="s">
        <v>163</v>
      </c>
      <c r="B10">
        <v>45</v>
      </c>
      <c r="C10">
        <v>3.8</v>
      </c>
      <c r="D10">
        <f t="shared" si="0"/>
        <v>171</v>
      </c>
      <c r="F10" t="s">
        <v>164</v>
      </c>
      <c r="G10">
        <v>12000</v>
      </c>
      <c r="H10">
        <f t="shared" si="1"/>
        <v>1200</v>
      </c>
    </row>
    <row r="11" spans="1:10" x14ac:dyDescent="0.35">
      <c r="A11" t="s">
        <v>165</v>
      </c>
      <c r="B11">
        <v>32</v>
      </c>
      <c r="C11">
        <v>7.4</v>
      </c>
      <c r="D11">
        <f t="shared" si="0"/>
        <v>236.8</v>
      </c>
    </row>
    <row r="13" spans="1:10" x14ac:dyDescent="0.35">
      <c r="H13" t="s">
        <v>310</v>
      </c>
    </row>
  </sheetData>
  <mergeCells count="2">
    <mergeCell ref="B3:D3"/>
    <mergeCell ref="F3:I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F0B49-4E0A-4B05-8FA5-188D814BEFF8}">
  <sheetPr codeName="Sheet10"/>
  <dimension ref="A1:R17"/>
  <sheetViews>
    <sheetView zoomScaleNormal="100" workbookViewId="0">
      <selection activeCell="I20" sqref="I20"/>
    </sheetView>
  </sheetViews>
  <sheetFormatPr defaultRowHeight="14.5" x14ac:dyDescent="0.35"/>
  <cols>
    <col min="5" max="5" width="10.08984375" bestFit="1" customWidth="1"/>
  </cols>
  <sheetData>
    <row r="1" spans="1:18" x14ac:dyDescent="0.3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</row>
    <row r="2" spans="1:18" x14ac:dyDescent="0.35">
      <c r="A2">
        <v>2</v>
      </c>
      <c r="B2">
        <f>B$1*$A2</f>
        <v>4</v>
      </c>
      <c r="C2">
        <f t="shared" ref="C2:J2" si="0">C$1*$A2</f>
        <v>6</v>
      </c>
      <c r="D2">
        <f t="shared" si="0"/>
        <v>8</v>
      </c>
      <c r="E2">
        <f t="shared" si="0"/>
        <v>10</v>
      </c>
      <c r="F2">
        <f t="shared" si="0"/>
        <v>12</v>
      </c>
      <c r="G2">
        <f t="shared" si="0"/>
        <v>14</v>
      </c>
      <c r="H2">
        <f t="shared" si="0"/>
        <v>16</v>
      </c>
      <c r="I2">
        <f t="shared" si="0"/>
        <v>18</v>
      </c>
      <c r="J2">
        <f t="shared" si="0"/>
        <v>20</v>
      </c>
    </row>
    <row r="3" spans="1:18" x14ac:dyDescent="0.35">
      <c r="A3">
        <v>3</v>
      </c>
      <c r="B3">
        <f t="shared" ref="B3:J10" si="1">B$1*$A3</f>
        <v>6</v>
      </c>
      <c r="C3">
        <f t="shared" si="1"/>
        <v>9</v>
      </c>
      <c r="D3">
        <f t="shared" si="1"/>
        <v>12</v>
      </c>
      <c r="E3">
        <f t="shared" si="1"/>
        <v>15</v>
      </c>
      <c r="F3">
        <f t="shared" si="1"/>
        <v>18</v>
      </c>
      <c r="G3">
        <f t="shared" si="1"/>
        <v>21</v>
      </c>
      <c r="H3">
        <f t="shared" si="1"/>
        <v>24</v>
      </c>
      <c r="I3">
        <f t="shared" si="1"/>
        <v>27</v>
      </c>
      <c r="J3">
        <f t="shared" si="1"/>
        <v>30</v>
      </c>
    </row>
    <row r="4" spans="1:18" x14ac:dyDescent="0.35">
      <c r="A4">
        <v>4</v>
      </c>
      <c r="B4">
        <f t="shared" si="1"/>
        <v>8</v>
      </c>
      <c r="C4">
        <f t="shared" si="1"/>
        <v>12</v>
      </c>
      <c r="D4">
        <f t="shared" si="1"/>
        <v>16</v>
      </c>
      <c r="E4">
        <f t="shared" si="1"/>
        <v>20</v>
      </c>
      <c r="F4">
        <f t="shared" si="1"/>
        <v>24</v>
      </c>
      <c r="G4">
        <f t="shared" si="1"/>
        <v>28</v>
      </c>
      <c r="H4">
        <f t="shared" si="1"/>
        <v>32</v>
      </c>
      <c r="I4">
        <f t="shared" si="1"/>
        <v>36</v>
      </c>
      <c r="J4">
        <f t="shared" si="1"/>
        <v>40</v>
      </c>
    </row>
    <row r="5" spans="1:18" x14ac:dyDescent="0.35">
      <c r="A5">
        <v>5</v>
      </c>
      <c r="B5">
        <f t="shared" si="1"/>
        <v>10</v>
      </c>
      <c r="C5">
        <f t="shared" si="1"/>
        <v>15</v>
      </c>
      <c r="D5">
        <f t="shared" si="1"/>
        <v>20</v>
      </c>
      <c r="E5">
        <f t="shared" si="1"/>
        <v>25</v>
      </c>
      <c r="F5">
        <f t="shared" si="1"/>
        <v>30</v>
      </c>
      <c r="G5">
        <f t="shared" si="1"/>
        <v>35</v>
      </c>
      <c r="H5">
        <f t="shared" si="1"/>
        <v>40</v>
      </c>
      <c r="I5">
        <f t="shared" si="1"/>
        <v>45</v>
      </c>
      <c r="J5">
        <f t="shared" si="1"/>
        <v>50</v>
      </c>
      <c r="R5" cm="1">
        <f t="array" ref="R5:R17">salary</f>
        <v>10000</v>
      </c>
    </row>
    <row r="6" spans="1:18" x14ac:dyDescent="0.35">
      <c r="A6">
        <v>6</v>
      </c>
      <c r="B6">
        <f t="shared" si="1"/>
        <v>12</v>
      </c>
      <c r="C6">
        <f t="shared" si="1"/>
        <v>18</v>
      </c>
      <c r="D6">
        <f t="shared" si="1"/>
        <v>24</v>
      </c>
      <c r="E6">
        <f t="shared" si="1"/>
        <v>30</v>
      </c>
      <c r="F6">
        <f t="shared" si="1"/>
        <v>36</v>
      </c>
      <c r="G6">
        <f t="shared" si="1"/>
        <v>42</v>
      </c>
      <c r="H6">
        <f t="shared" si="1"/>
        <v>48</v>
      </c>
      <c r="I6">
        <f t="shared" si="1"/>
        <v>54</v>
      </c>
      <c r="J6">
        <f t="shared" si="1"/>
        <v>60</v>
      </c>
      <c r="R6">
        <v>12000</v>
      </c>
    </row>
    <row r="7" spans="1:18" x14ac:dyDescent="0.35">
      <c r="A7">
        <v>7</v>
      </c>
      <c r="B7">
        <f t="shared" si="1"/>
        <v>14</v>
      </c>
      <c r="C7">
        <f t="shared" si="1"/>
        <v>21</v>
      </c>
      <c r="D7">
        <f t="shared" si="1"/>
        <v>28</v>
      </c>
      <c r="E7">
        <f t="shared" si="1"/>
        <v>35</v>
      </c>
      <c r="F7">
        <f t="shared" si="1"/>
        <v>42</v>
      </c>
      <c r="G7">
        <f t="shared" si="1"/>
        <v>49</v>
      </c>
      <c r="H7">
        <f t="shared" si="1"/>
        <v>56</v>
      </c>
      <c r="I7">
        <f t="shared" si="1"/>
        <v>63</v>
      </c>
      <c r="J7">
        <f t="shared" si="1"/>
        <v>70</v>
      </c>
      <c r="R7">
        <v>11250</v>
      </c>
    </row>
    <row r="8" spans="1:18" x14ac:dyDescent="0.35">
      <c r="A8">
        <v>8</v>
      </c>
      <c r="B8">
        <f t="shared" si="1"/>
        <v>16</v>
      </c>
      <c r="C8">
        <f t="shared" si="1"/>
        <v>24</v>
      </c>
      <c r="D8">
        <f t="shared" si="1"/>
        <v>32</v>
      </c>
      <c r="E8">
        <f t="shared" si="1"/>
        <v>40</v>
      </c>
      <c r="F8">
        <f t="shared" si="1"/>
        <v>48</v>
      </c>
      <c r="G8">
        <f t="shared" si="1"/>
        <v>56</v>
      </c>
      <c r="H8">
        <f t="shared" si="1"/>
        <v>64</v>
      </c>
      <c r="I8">
        <f t="shared" si="1"/>
        <v>72</v>
      </c>
      <c r="J8">
        <f t="shared" si="1"/>
        <v>80</v>
      </c>
      <c r="R8">
        <v>12000</v>
      </c>
    </row>
    <row r="9" spans="1:18" x14ac:dyDescent="0.35">
      <c r="A9">
        <v>9</v>
      </c>
      <c r="B9">
        <f t="shared" si="1"/>
        <v>18</v>
      </c>
      <c r="C9">
        <f t="shared" si="1"/>
        <v>27</v>
      </c>
      <c r="D9">
        <f t="shared" si="1"/>
        <v>36</v>
      </c>
      <c r="E9">
        <f t="shared" si="1"/>
        <v>45</v>
      </c>
      <c r="F9">
        <f t="shared" si="1"/>
        <v>54</v>
      </c>
      <c r="G9">
        <f t="shared" si="1"/>
        <v>63</v>
      </c>
      <c r="H9">
        <f t="shared" si="1"/>
        <v>72</v>
      </c>
      <c r="I9">
        <f t="shared" si="1"/>
        <v>81</v>
      </c>
      <c r="J9">
        <f t="shared" si="1"/>
        <v>90</v>
      </c>
      <c r="P9" t="e" cm="1">
        <f t="array" ref="P9">names</f>
        <v>#NAME?</v>
      </c>
      <c r="R9">
        <v>16250</v>
      </c>
    </row>
    <row r="10" spans="1:18" x14ac:dyDescent="0.35">
      <c r="A10">
        <v>10</v>
      </c>
      <c r="B10">
        <f t="shared" si="1"/>
        <v>20</v>
      </c>
      <c r="C10">
        <f t="shared" si="1"/>
        <v>30</v>
      </c>
      <c r="D10">
        <f t="shared" si="1"/>
        <v>40</v>
      </c>
      <c r="E10">
        <f t="shared" si="1"/>
        <v>50</v>
      </c>
      <c r="F10">
        <f t="shared" si="1"/>
        <v>60</v>
      </c>
      <c r="G10">
        <f t="shared" si="1"/>
        <v>70</v>
      </c>
      <c r="H10">
        <f t="shared" si="1"/>
        <v>80</v>
      </c>
      <c r="I10">
        <f t="shared" si="1"/>
        <v>90</v>
      </c>
      <c r="J10">
        <f t="shared" si="1"/>
        <v>100</v>
      </c>
      <c r="R10">
        <v>6400</v>
      </c>
    </row>
    <row r="11" spans="1:18" x14ac:dyDescent="0.35">
      <c r="R11">
        <v>4500</v>
      </c>
    </row>
    <row r="12" spans="1:18" x14ac:dyDescent="0.35">
      <c r="R12">
        <v>6275</v>
      </c>
    </row>
    <row r="13" spans="1:18" x14ac:dyDescent="0.35">
      <c r="R13">
        <v>6250</v>
      </c>
    </row>
    <row r="14" spans="1:18" x14ac:dyDescent="0.35">
      <c r="R14">
        <v>8750</v>
      </c>
    </row>
    <row r="15" spans="1:18" x14ac:dyDescent="0.35">
      <c r="R15">
        <v>11250</v>
      </c>
    </row>
    <row r="16" spans="1:18" x14ac:dyDescent="0.35">
      <c r="E16" s="1" t="s">
        <v>311</v>
      </c>
      <c r="R16">
        <v>10000</v>
      </c>
    </row>
    <row r="17" spans="18:18" x14ac:dyDescent="0.35">
      <c r="R17">
        <v>16250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C42C5-F580-424C-94EB-DB4798F8F215}">
  <sheetPr codeName="Sheet11"/>
  <dimension ref="A1:I35"/>
  <sheetViews>
    <sheetView zoomScale="111" zoomScaleNormal="170" workbookViewId="0">
      <selection activeCell="G20" sqref="G20"/>
    </sheetView>
  </sheetViews>
  <sheetFormatPr defaultRowHeight="14.5" x14ac:dyDescent="0.35"/>
  <cols>
    <col min="1" max="1" width="14.81640625" bestFit="1" customWidth="1"/>
    <col min="2" max="2" width="10.6328125" bestFit="1" customWidth="1"/>
    <col min="4" max="4" width="23.7265625" bestFit="1" customWidth="1"/>
    <col min="9" max="9" width="14.26953125" bestFit="1" customWidth="1"/>
  </cols>
  <sheetData>
    <row r="1" spans="1:9" x14ac:dyDescent="0.35">
      <c r="A1" s="1" t="s">
        <v>0</v>
      </c>
      <c r="B1" t="s">
        <v>93</v>
      </c>
    </row>
    <row r="2" spans="1:9" x14ac:dyDescent="0.35">
      <c r="A2" t="s">
        <v>2</v>
      </c>
      <c r="B2">
        <v>10000</v>
      </c>
    </row>
    <row r="3" spans="1:9" x14ac:dyDescent="0.35">
      <c r="A3" t="s">
        <v>131</v>
      </c>
      <c r="B3">
        <v>12000</v>
      </c>
      <c r="E3" t="s">
        <v>167</v>
      </c>
      <c r="F3">
        <f>SUM(salary)</f>
        <v>131175</v>
      </c>
    </row>
    <row r="4" spans="1:9" x14ac:dyDescent="0.35">
      <c r="A4" t="s">
        <v>122</v>
      </c>
      <c r="B4">
        <v>11250</v>
      </c>
      <c r="E4" t="s">
        <v>168</v>
      </c>
      <c r="F4">
        <f>AVERAGE(salary)</f>
        <v>10090.384615384615</v>
      </c>
      <c r="I4" t="e" cm="1">
        <f t="array" ref="I4">names</f>
        <v>#NAME?</v>
      </c>
    </row>
    <row r="5" spans="1:9" x14ac:dyDescent="0.35">
      <c r="A5" t="s">
        <v>9</v>
      </c>
      <c r="B5">
        <v>12000</v>
      </c>
      <c r="E5" t="s">
        <v>169</v>
      </c>
      <c r="F5">
        <f>MAX(salary)</f>
        <v>16250</v>
      </c>
    </row>
    <row r="6" spans="1:9" x14ac:dyDescent="0.35">
      <c r="A6" t="s">
        <v>10</v>
      </c>
      <c r="B6">
        <v>16250</v>
      </c>
      <c r="E6" t="s">
        <v>170</v>
      </c>
      <c r="F6">
        <f>MIN(salary)</f>
        <v>4500</v>
      </c>
    </row>
    <row r="7" spans="1:9" x14ac:dyDescent="0.35">
      <c r="A7" t="s">
        <v>124</v>
      </c>
      <c r="B7">
        <v>6400</v>
      </c>
      <c r="E7" t="s">
        <v>171</v>
      </c>
      <c r="F7">
        <f>COUNT(salary)</f>
        <v>13</v>
      </c>
    </row>
    <row r="8" spans="1:9" x14ac:dyDescent="0.35">
      <c r="A8" t="s">
        <v>6</v>
      </c>
      <c r="B8">
        <v>4500</v>
      </c>
    </row>
    <row r="9" spans="1:9" x14ac:dyDescent="0.35">
      <c r="A9" t="s">
        <v>1</v>
      </c>
      <c r="B9">
        <v>6275</v>
      </c>
    </row>
    <row r="10" spans="1:9" x14ac:dyDescent="0.35">
      <c r="A10" t="s">
        <v>136</v>
      </c>
      <c r="B10">
        <v>6250</v>
      </c>
    </row>
    <row r="11" spans="1:9" x14ac:dyDescent="0.35">
      <c r="A11" t="s">
        <v>8</v>
      </c>
      <c r="B11">
        <v>8750</v>
      </c>
    </row>
    <row r="12" spans="1:9" x14ac:dyDescent="0.35">
      <c r="A12" t="s">
        <v>7</v>
      </c>
      <c r="B12">
        <v>11250</v>
      </c>
    </row>
    <row r="13" spans="1:9" x14ac:dyDescent="0.35">
      <c r="A13" t="s">
        <v>125</v>
      </c>
      <c r="B13">
        <v>10000</v>
      </c>
    </row>
    <row r="14" spans="1:9" x14ac:dyDescent="0.35">
      <c r="A14" t="s">
        <v>3</v>
      </c>
      <c r="B14">
        <v>16250</v>
      </c>
    </row>
    <row r="15" spans="1:9" x14ac:dyDescent="0.35">
      <c r="D15" t="s">
        <v>312</v>
      </c>
    </row>
    <row r="16" spans="1:9" x14ac:dyDescent="0.35">
      <c r="D16" t="s">
        <v>313</v>
      </c>
    </row>
    <row r="17" spans="4:6" x14ac:dyDescent="0.35">
      <c r="D17" t="s">
        <v>314</v>
      </c>
    </row>
    <row r="18" spans="4:6" x14ac:dyDescent="0.35">
      <c r="D18" t="s">
        <v>315</v>
      </c>
    </row>
    <row r="19" spans="4:6" x14ac:dyDescent="0.35">
      <c r="D19" t="s">
        <v>316</v>
      </c>
    </row>
    <row r="20" spans="4:6" x14ac:dyDescent="0.35">
      <c r="D20" t="s">
        <v>317</v>
      </c>
    </row>
    <row r="21" spans="4:6" x14ac:dyDescent="0.35">
      <c r="D21" t="s">
        <v>321</v>
      </c>
    </row>
    <row r="22" spans="4:6" x14ac:dyDescent="0.35">
      <c r="D22" t="s">
        <v>322</v>
      </c>
    </row>
    <row r="23" spans="4:6" x14ac:dyDescent="0.35">
      <c r="D23" t="s">
        <v>323</v>
      </c>
      <c r="F23" cm="1">
        <f t="array" ref="F23:F35">salary</f>
        <v>10000</v>
      </c>
    </row>
    <row r="24" spans="4:6" x14ac:dyDescent="0.35">
      <c r="F24">
        <v>12000</v>
      </c>
    </row>
    <row r="25" spans="4:6" x14ac:dyDescent="0.35">
      <c r="F25">
        <v>11250</v>
      </c>
    </row>
    <row r="26" spans="4:6" x14ac:dyDescent="0.35">
      <c r="F26">
        <v>12000</v>
      </c>
    </row>
    <row r="27" spans="4:6" x14ac:dyDescent="0.35">
      <c r="F27">
        <v>16250</v>
      </c>
    </row>
    <row r="28" spans="4:6" x14ac:dyDescent="0.35">
      <c r="F28">
        <v>6400</v>
      </c>
    </row>
    <row r="29" spans="4:6" x14ac:dyDescent="0.35">
      <c r="F29">
        <v>4500</v>
      </c>
    </row>
    <row r="30" spans="4:6" x14ac:dyDescent="0.35">
      <c r="F30">
        <v>6275</v>
      </c>
    </row>
    <row r="31" spans="4:6" x14ac:dyDescent="0.35">
      <c r="F31">
        <v>6250</v>
      </c>
    </row>
    <row r="32" spans="4:6" x14ac:dyDescent="0.35">
      <c r="F32">
        <v>8750</v>
      </c>
    </row>
    <row r="33" spans="6:6" x14ac:dyDescent="0.35">
      <c r="F33">
        <v>11250</v>
      </c>
    </row>
    <row r="34" spans="6:6" x14ac:dyDescent="0.35">
      <c r="F34">
        <v>10000</v>
      </c>
    </row>
    <row r="35" spans="6:6" x14ac:dyDescent="0.35">
      <c r="F35">
        <v>16250</v>
      </c>
    </row>
  </sheetData>
  <sortState xmlns:xlrd2="http://schemas.microsoft.com/office/spreadsheetml/2017/richdata2" ref="A2:A19">
    <sortCondition ref="A1:A19"/>
  </sortState>
  <dataValidations count="2">
    <dataValidation type="custom" allowBlank="1" showInputMessage="1" showErrorMessage="1" sqref="A1:A19" xr:uid="{194FE7B6-A485-47CC-AC51-4CFE8541F87A}">
      <formula1>ISTEXT(A1)</formula1>
    </dataValidation>
    <dataValidation type="custom" operator="greaterThanOrEqual" allowBlank="1" showInputMessage="1" showErrorMessage="1" sqref="B2:B14" xr:uid="{3968AF47-DB10-4369-86BE-9121C0406822}">
      <formula1>ISNUMBER(B2)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5E817-D8B3-476C-80D6-0F216A09C9A3}">
  <sheetPr codeName="Sheet12"/>
  <dimension ref="A1:G11"/>
  <sheetViews>
    <sheetView zoomScale="135" zoomScaleNormal="190" workbookViewId="0">
      <selection activeCell="F12" sqref="F12"/>
    </sheetView>
  </sheetViews>
  <sheetFormatPr defaultRowHeight="14.5" x14ac:dyDescent="0.35"/>
  <cols>
    <col min="1" max="1" width="11.81640625" bestFit="1" customWidth="1"/>
    <col min="2" max="2" width="20.81640625" bestFit="1" customWidth="1"/>
    <col min="3" max="3" width="15.81640625" customWidth="1"/>
    <col min="4" max="4" width="15.81640625" bestFit="1" customWidth="1"/>
    <col min="5" max="5" width="11.26953125" bestFit="1" customWidth="1"/>
    <col min="6" max="6" width="9.36328125" bestFit="1" customWidth="1"/>
    <col min="7" max="8" width="10.453125" bestFit="1" customWidth="1"/>
  </cols>
  <sheetData>
    <row r="1" spans="1:7" x14ac:dyDescent="0.35">
      <c r="D1" t="s">
        <v>177</v>
      </c>
      <c r="E1" t="s">
        <v>179</v>
      </c>
      <c r="F1" t="s">
        <v>180</v>
      </c>
      <c r="G1" t="s">
        <v>181</v>
      </c>
    </row>
    <row r="2" spans="1:7" x14ac:dyDescent="0.35">
      <c r="A2" t="s">
        <v>178</v>
      </c>
      <c r="B2" t="s">
        <v>172</v>
      </c>
      <c r="C2" s="5">
        <v>46154</v>
      </c>
      <c r="D2" s="7">
        <v>0.61117256944271503</v>
      </c>
      <c r="E2">
        <f>HOUR(D2)</f>
        <v>14</v>
      </c>
      <c r="F2">
        <f>MINUTE(D2)</f>
        <v>40</v>
      </c>
      <c r="G2">
        <f>SECOND(D2)</f>
        <v>5</v>
      </c>
    </row>
    <row r="3" spans="1:7" x14ac:dyDescent="0.35">
      <c r="A3" t="s">
        <v>177</v>
      </c>
      <c r="B3" t="s">
        <v>173</v>
      </c>
      <c r="C3" s="12">
        <v>0.4909722222222222</v>
      </c>
    </row>
    <row r="4" spans="1:7" x14ac:dyDescent="0.35">
      <c r="A4" t="s">
        <v>174</v>
      </c>
      <c r="B4" t="s">
        <v>318</v>
      </c>
      <c r="C4" s="5">
        <f ca="1">TODAY()</f>
        <v>46184</v>
      </c>
      <c r="D4" s="5"/>
    </row>
    <row r="5" spans="1:7" x14ac:dyDescent="0.35">
      <c r="A5" t="s">
        <v>175</v>
      </c>
      <c r="B5" t="s">
        <v>319</v>
      </c>
      <c r="C5" s="6">
        <f ca="1">NOW()</f>
        <v>46184.436782870369</v>
      </c>
      <c r="D5" s="6"/>
    </row>
    <row r="6" spans="1:7" x14ac:dyDescent="0.35">
      <c r="A6" t="s">
        <v>176</v>
      </c>
      <c r="B6" t="s">
        <v>320</v>
      </c>
      <c r="C6" s="7">
        <f ca="1">NOW()-TODAY()</f>
        <v>0.43678287036891561</v>
      </c>
      <c r="D6" t="s">
        <v>179</v>
      </c>
      <c r="E6" t="s">
        <v>180</v>
      </c>
      <c r="F6" t="s">
        <v>181</v>
      </c>
      <c r="G6" t="s">
        <v>177</v>
      </c>
    </row>
    <row r="7" spans="1:7" x14ac:dyDescent="0.35">
      <c r="D7">
        <v>14</v>
      </c>
      <c r="E7">
        <v>40</v>
      </c>
      <c r="F7">
        <v>5</v>
      </c>
      <c r="G7" s="8"/>
    </row>
    <row r="8" spans="1:7" x14ac:dyDescent="0.35">
      <c r="B8" s="5">
        <v>1</v>
      </c>
    </row>
    <row r="9" spans="1:7" x14ac:dyDescent="0.35">
      <c r="B9">
        <v>1</v>
      </c>
    </row>
    <row r="10" spans="1:7" x14ac:dyDescent="0.35">
      <c r="D10" t="s">
        <v>178</v>
      </c>
      <c r="E10" t="s">
        <v>192</v>
      </c>
      <c r="F10" t="s">
        <v>193</v>
      </c>
    </row>
    <row r="11" spans="1:7" x14ac:dyDescent="0.35">
      <c r="D11" s="5">
        <f ca="1">TODAY()</f>
        <v>46184</v>
      </c>
      <c r="E11">
        <f ca="1">WEEKDAY(D11)</f>
        <v>5</v>
      </c>
      <c r="F11">
        <f ca="1">WEEKNUM(D11)</f>
        <v>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5B783-F349-4D8D-9FAF-8BC1D13FF235}">
  <sheetPr codeName="Sheet13"/>
  <dimension ref="A1:O20"/>
  <sheetViews>
    <sheetView topLeftCell="H1" zoomScaleNormal="100" workbookViewId="0">
      <selection activeCell="N12" sqref="N12:N20"/>
    </sheetView>
  </sheetViews>
  <sheetFormatPr defaultRowHeight="14.5" x14ac:dyDescent="0.35"/>
  <cols>
    <col min="1" max="1" width="12.81640625" customWidth="1"/>
    <col min="2" max="2" width="22.6328125" bestFit="1" customWidth="1"/>
    <col min="4" max="4" width="21.54296875" bestFit="1" customWidth="1"/>
    <col min="5" max="5" width="17.81640625" bestFit="1" customWidth="1"/>
    <col min="6" max="6" width="28.453125" bestFit="1" customWidth="1"/>
    <col min="7" max="7" width="27.6328125" bestFit="1" customWidth="1"/>
    <col min="8" max="8" width="27.08984375" bestFit="1" customWidth="1"/>
    <col min="10" max="10" width="24.1796875" bestFit="1" customWidth="1"/>
  </cols>
  <sheetData>
    <row r="1" spans="1:15" x14ac:dyDescent="0.35">
      <c r="A1" t="s">
        <v>236</v>
      </c>
      <c r="B1" t="s">
        <v>242</v>
      </c>
      <c r="C1" t="s">
        <v>237</v>
      </c>
      <c r="D1" t="s">
        <v>243</v>
      </c>
      <c r="E1" t="s">
        <v>238</v>
      </c>
      <c r="F1" t="s">
        <v>239</v>
      </c>
      <c r="G1" t="s">
        <v>240</v>
      </c>
      <c r="H1" t="s">
        <v>192</v>
      </c>
      <c r="J1" t="s">
        <v>241</v>
      </c>
    </row>
    <row r="2" spans="1:15" x14ac:dyDescent="0.35">
      <c r="A2">
        <v>2</v>
      </c>
      <c r="B2">
        <v>5</v>
      </c>
      <c r="C2">
        <v>3</v>
      </c>
      <c r="D2">
        <v>3</v>
      </c>
      <c r="E2" s="5">
        <v>46157</v>
      </c>
      <c r="F2" s="5">
        <v>46157</v>
      </c>
      <c r="G2" s="5">
        <f ca="1">TODAY()</f>
        <v>46184</v>
      </c>
      <c r="H2" s="5">
        <f ca="1">TODAY()</f>
        <v>46184</v>
      </c>
      <c r="J2" t="s">
        <v>336</v>
      </c>
      <c r="L2" t="s">
        <v>343</v>
      </c>
    </row>
    <row r="3" spans="1:15" x14ac:dyDescent="0.35">
      <c r="A3">
        <v>4</v>
      </c>
      <c r="B3">
        <v>10</v>
      </c>
      <c r="C3">
        <f>C2*4</f>
        <v>12</v>
      </c>
      <c r="D3">
        <v>12</v>
      </c>
      <c r="E3" s="5">
        <v>46159</v>
      </c>
      <c r="F3" s="5">
        <v>46188</v>
      </c>
      <c r="G3" s="5">
        <v>64420</v>
      </c>
      <c r="H3" s="5">
        <v>46160</v>
      </c>
      <c r="J3" t="s">
        <v>337</v>
      </c>
      <c r="L3" t="s">
        <v>344</v>
      </c>
      <c r="N3" t="s">
        <v>355</v>
      </c>
    </row>
    <row r="4" spans="1:15" x14ac:dyDescent="0.35">
      <c r="A4">
        <v>6</v>
      </c>
      <c r="B4">
        <v>15</v>
      </c>
      <c r="C4">
        <f t="shared" ref="C4:C11" si="0">C3*4</f>
        <v>48</v>
      </c>
      <c r="D4">
        <v>48</v>
      </c>
      <c r="E4" s="5">
        <v>46161</v>
      </c>
      <c r="F4" s="5">
        <v>46218</v>
      </c>
      <c r="G4" s="5">
        <v>82681</v>
      </c>
      <c r="H4" s="5">
        <v>46161</v>
      </c>
      <c r="J4" t="s">
        <v>338</v>
      </c>
      <c r="L4" t="s">
        <v>345</v>
      </c>
      <c r="N4" t="s">
        <v>356</v>
      </c>
      <c r="O4" t="s">
        <v>355</v>
      </c>
    </row>
    <row r="5" spans="1:15" x14ac:dyDescent="0.35">
      <c r="A5">
        <v>8</v>
      </c>
      <c r="B5">
        <v>20</v>
      </c>
      <c r="C5">
        <f t="shared" si="0"/>
        <v>192</v>
      </c>
      <c r="D5">
        <v>192</v>
      </c>
      <c r="E5" s="5">
        <v>46163</v>
      </c>
      <c r="F5" s="5">
        <v>46249</v>
      </c>
      <c r="G5" s="5">
        <v>100944</v>
      </c>
      <c r="H5" s="5">
        <v>46162</v>
      </c>
      <c r="J5" t="s">
        <v>339</v>
      </c>
      <c r="L5" t="s">
        <v>346</v>
      </c>
      <c r="N5" t="s">
        <v>357</v>
      </c>
      <c r="O5" t="s">
        <v>356</v>
      </c>
    </row>
    <row r="6" spans="1:15" x14ac:dyDescent="0.35">
      <c r="A6">
        <v>10</v>
      </c>
      <c r="B6">
        <v>25</v>
      </c>
      <c r="C6">
        <f t="shared" si="0"/>
        <v>768</v>
      </c>
      <c r="D6">
        <v>768</v>
      </c>
      <c r="E6" s="5">
        <v>46165</v>
      </c>
      <c r="F6" s="5">
        <v>46280</v>
      </c>
      <c r="G6" s="5">
        <v>119205</v>
      </c>
      <c r="H6" s="5">
        <v>46163</v>
      </c>
      <c r="J6" t="s">
        <v>340</v>
      </c>
      <c r="L6" t="s">
        <v>347</v>
      </c>
      <c r="N6" t="s">
        <v>360</v>
      </c>
      <c r="O6" t="s">
        <v>357</v>
      </c>
    </row>
    <row r="7" spans="1:15" x14ac:dyDescent="0.35">
      <c r="A7">
        <v>12</v>
      </c>
      <c r="B7">
        <v>30</v>
      </c>
      <c r="C7">
        <f t="shared" si="0"/>
        <v>3072</v>
      </c>
      <c r="D7">
        <v>3072</v>
      </c>
      <c r="E7" s="5">
        <v>46167</v>
      </c>
      <c r="F7" s="5">
        <v>46310</v>
      </c>
      <c r="G7" s="5">
        <v>137468</v>
      </c>
      <c r="H7" s="5">
        <v>46164</v>
      </c>
      <c r="J7" t="s">
        <v>341</v>
      </c>
      <c r="L7" t="s">
        <v>348</v>
      </c>
      <c r="N7" t="s">
        <v>361</v>
      </c>
      <c r="O7" t="s">
        <v>360</v>
      </c>
    </row>
    <row r="8" spans="1:15" x14ac:dyDescent="0.35">
      <c r="A8">
        <v>14</v>
      </c>
      <c r="B8">
        <v>35</v>
      </c>
      <c r="C8">
        <f t="shared" si="0"/>
        <v>12288</v>
      </c>
      <c r="D8">
        <v>12288</v>
      </c>
      <c r="E8" s="5">
        <v>46169</v>
      </c>
      <c r="F8" s="5">
        <v>46341</v>
      </c>
      <c r="G8" s="5">
        <v>155729</v>
      </c>
      <c r="H8" s="5">
        <v>46167</v>
      </c>
      <c r="J8" t="s">
        <v>342</v>
      </c>
      <c r="L8" t="s">
        <v>349</v>
      </c>
      <c r="N8" t="s">
        <v>358</v>
      </c>
      <c r="O8" t="s">
        <v>361</v>
      </c>
    </row>
    <row r="9" spans="1:15" x14ac:dyDescent="0.35">
      <c r="A9">
        <v>16</v>
      </c>
      <c r="B9">
        <v>40</v>
      </c>
      <c r="C9">
        <f t="shared" si="0"/>
        <v>49152</v>
      </c>
      <c r="D9">
        <v>49152</v>
      </c>
      <c r="E9" s="5">
        <v>46171</v>
      </c>
      <c r="F9" s="5">
        <v>46371</v>
      </c>
      <c r="G9" s="5">
        <v>173992</v>
      </c>
      <c r="H9" s="5">
        <v>46168</v>
      </c>
      <c r="J9" t="s">
        <v>336</v>
      </c>
      <c r="L9" t="s">
        <v>350</v>
      </c>
      <c r="N9" t="s">
        <v>359</v>
      </c>
      <c r="O9" t="s">
        <v>358</v>
      </c>
    </row>
    <row r="10" spans="1:15" x14ac:dyDescent="0.35">
      <c r="A10">
        <v>18</v>
      </c>
      <c r="C10">
        <f t="shared" si="0"/>
        <v>196608</v>
      </c>
      <c r="D10">
        <v>196608</v>
      </c>
      <c r="E10" s="5">
        <v>46173</v>
      </c>
      <c r="F10" s="5">
        <v>46402</v>
      </c>
      <c r="G10" s="5">
        <v>192254</v>
      </c>
      <c r="H10" s="5">
        <v>46169</v>
      </c>
      <c r="J10" t="s">
        <v>337</v>
      </c>
      <c r="L10" t="s">
        <v>351</v>
      </c>
    </row>
    <row r="11" spans="1:15" x14ac:dyDescent="0.35">
      <c r="A11">
        <v>20</v>
      </c>
      <c r="C11">
        <f t="shared" si="0"/>
        <v>786432</v>
      </c>
      <c r="D11">
        <v>786432</v>
      </c>
      <c r="E11" s="5">
        <v>46175</v>
      </c>
      <c r="F11" s="5">
        <v>46433</v>
      </c>
      <c r="G11" s="5">
        <v>210517</v>
      </c>
      <c r="H11" s="5">
        <v>46170</v>
      </c>
      <c r="J11" t="s">
        <v>338</v>
      </c>
      <c r="L11" t="s">
        <v>352</v>
      </c>
    </row>
    <row r="12" spans="1:15" x14ac:dyDescent="0.35">
      <c r="L12" t="s">
        <v>353</v>
      </c>
      <c r="N12" t="s">
        <v>364</v>
      </c>
    </row>
    <row r="13" spans="1:15" x14ac:dyDescent="0.35">
      <c r="B13" t="s">
        <v>324</v>
      </c>
      <c r="L13" t="s">
        <v>354</v>
      </c>
      <c r="N13" t="s">
        <v>365</v>
      </c>
    </row>
    <row r="14" spans="1:15" x14ac:dyDescent="0.35">
      <c r="B14" t="s">
        <v>325</v>
      </c>
      <c r="N14" t="s">
        <v>366</v>
      </c>
    </row>
    <row r="15" spans="1:15" x14ac:dyDescent="0.35">
      <c r="B15" t="s">
        <v>326</v>
      </c>
      <c r="D15" t="s">
        <v>328</v>
      </c>
      <c r="E15" t="s">
        <v>331</v>
      </c>
      <c r="F15" t="s">
        <v>331</v>
      </c>
      <c r="G15" t="s">
        <v>331</v>
      </c>
      <c r="H15" t="s">
        <v>331</v>
      </c>
      <c r="J15" t="s">
        <v>362</v>
      </c>
      <c r="N15" t="s">
        <v>367</v>
      </c>
    </row>
    <row r="16" spans="1:15" x14ac:dyDescent="0.35">
      <c r="B16" t="s">
        <v>330</v>
      </c>
      <c r="D16" t="s">
        <v>329</v>
      </c>
      <c r="E16" t="s">
        <v>329</v>
      </c>
      <c r="F16" t="s">
        <v>332</v>
      </c>
      <c r="G16" t="s">
        <v>333</v>
      </c>
      <c r="H16" t="s">
        <v>335</v>
      </c>
      <c r="J16" t="s">
        <v>363</v>
      </c>
      <c r="N16" t="s">
        <v>434</v>
      </c>
    </row>
    <row r="17" spans="2:14" x14ac:dyDescent="0.35">
      <c r="B17" t="s">
        <v>327</v>
      </c>
      <c r="F17" t="s">
        <v>334</v>
      </c>
      <c r="G17" t="s">
        <v>334</v>
      </c>
      <c r="H17" t="s">
        <v>334</v>
      </c>
      <c r="N17" t="s">
        <v>435</v>
      </c>
    </row>
    <row r="18" spans="2:14" x14ac:dyDescent="0.35">
      <c r="B18" t="s">
        <v>321</v>
      </c>
      <c r="D18" t="s">
        <v>321</v>
      </c>
      <c r="F18" t="s">
        <v>321</v>
      </c>
      <c r="H18" t="s">
        <v>321</v>
      </c>
      <c r="N18" t="s">
        <v>436</v>
      </c>
    </row>
    <row r="19" spans="2:14" x14ac:dyDescent="0.35">
      <c r="N19" t="s">
        <v>411</v>
      </c>
    </row>
    <row r="20" spans="2:14" x14ac:dyDescent="0.35">
      <c r="N20" t="s">
        <v>437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F6658-1321-4651-B9AA-5EF92A283701}">
  <sheetPr codeName="Sheet14"/>
  <dimension ref="A1:H14"/>
  <sheetViews>
    <sheetView zoomScale="95" zoomScaleNormal="170" workbookViewId="0">
      <selection activeCell="K8" sqref="K8"/>
    </sheetView>
  </sheetViews>
  <sheetFormatPr defaultRowHeight="14.5" x14ac:dyDescent="0.35"/>
  <cols>
    <col min="1" max="1" width="10.36328125" bestFit="1" customWidth="1"/>
    <col min="3" max="3" width="10.453125" bestFit="1" customWidth="1"/>
    <col min="4" max="4" width="10" bestFit="1" customWidth="1"/>
    <col min="7" max="7" width="12.81640625" customWidth="1"/>
    <col min="8" max="8" width="11.08984375" customWidth="1"/>
  </cols>
  <sheetData>
    <row r="1" spans="1:8" x14ac:dyDescent="0.35">
      <c r="A1" t="s">
        <v>182</v>
      </c>
      <c r="B1" t="s">
        <v>183</v>
      </c>
      <c r="C1" t="s">
        <v>187</v>
      </c>
      <c r="D1" t="s">
        <v>184</v>
      </c>
      <c r="E1" t="s">
        <v>185</v>
      </c>
      <c r="F1" t="s">
        <v>186</v>
      </c>
      <c r="G1" t="s">
        <v>188</v>
      </c>
      <c r="H1" t="s">
        <v>191</v>
      </c>
    </row>
    <row r="2" spans="1:8" x14ac:dyDescent="0.35">
      <c r="A2">
        <v>34</v>
      </c>
      <c r="B2" t="b" cm="1">
        <f t="array" aca="1" ref="B2:B14" ca="1">ISTEXT(A2:A14)</f>
        <v>0</v>
      </c>
      <c r="C2" t="b" cm="1">
        <f t="array" aca="1" ref="C2:C14" ca="1">ISNONTEXT(A2:A14)</f>
        <v>1</v>
      </c>
      <c r="D2" t="b" cm="1">
        <f t="array" aca="1" ref="D2:D14" ca="1">ISNUMBER(A2:A14)</f>
        <v>1</v>
      </c>
      <c r="E2" t="b">
        <f>ISEVEN(A2)</f>
        <v>1</v>
      </c>
      <c r="F2" t="b">
        <f>ISODD(A2)</f>
        <v>0</v>
      </c>
      <c r="G2" t="b">
        <f>_xlfn.ISFORMULA(A2)</f>
        <v>0</v>
      </c>
      <c r="H2" t="b">
        <f>ISLOGICAL(A2)</f>
        <v>0</v>
      </c>
    </row>
    <row r="3" spans="1:8" x14ac:dyDescent="0.35">
      <c r="A3">
        <v>54</v>
      </c>
      <c r="B3" t="b">
        <f ca="1"/>
        <v>0</v>
      </c>
      <c r="C3" t="b">
        <f ca="1"/>
        <v>1</v>
      </c>
      <c r="D3" t="b">
        <f ca="1"/>
        <v>1</v>
      </c>
      <c r="E3" t="b">
        <f t="shared" ref="E3:E14" si="0">ISEVEN(A3)</f>
        <v>1</v>
      </c>
      <c r="F3" t="b">
        <f t="shared" ref="F3:F14" si="1">ISODD(A3)</f>
        <v>0</v>
      </c>
      <c r="G3" t="b">
        <f t="shared" ref="G3:G14" si="2">_xlfn.ISFORMULA(A3)</f>
        <v>0</v>
      </c>
      <c r="H3" t="b">
        <f t="shared" ref="H3:H14" si="3">ISLOGICAL(A3)</f>
        <v>0</v>
      </c>
    </row>
    <row r="4" spans="1:8" x14ac:dyDescent="0.35">
      <c r="A4">
        <v>33</v>
      </c>
      <c r="B4" t="b">
        <f ca="1"/>
        <v>0</v>
      </c>
      <c r="C4" t="b">
        <f ca="1"/>
        <v>1</v>
      </c>
      <c r="D4" t="b">
        <f ca="1"/>
        <v>1</v>
      </c>
      <c r="E4" t="b">
        <f t="shared" si="0"/>
        <v>0</v>
      </c>
      <c r="F4" t="b">
        <f t="shared" si="1"/>
        <v>1</v>
      </c>
      <c r="G4" t="b">
        <f t="shared" si="2"/>
        <v>0</v>
      </c>
      <c r="H4" t="b">
        <f t="shared" si="3"/>
        <v>0</v>
      </c>
    </row>
    <row r="5" spans="1:8" x14ac:dyDescent="0.35">
      <c r="A5">
        <v>55</v>
      </c>
      <c r="B5" t="b">
        <f ca="1"/>
        <v>0</v>
      </c>
      <c r="C5" t="b">
        <f ca="1"/>
        <v>1</v>
      </c>
      <c r="D5" t="b">
        <f ca="1"/>
        <v>1</v>
      </c>
      <c r="E5" t="b">
        <f t="shared" si="0"/>
        <v>0</v>
      </c>
      <c r="F5" t="b">
        <f t="shared" si="1"/>
        <v>1</v>
      </c>
      <c r="G5" t="b">
        <f t="shared" si="2"/>
        <v>0</v>
      </c>
      <c r="H5" t="b">
        <f t="shared" si="3"/>
        <v>0</v>
      </c>
    </row>
    <row r="6" spans="1:8" x14ac:dyDescent="0.35">
      <c r="A6" s="5">
        <f ca="1">TODAY()</f>
        <v>46184</v>
      </c>
      <c r="B6" t="b">
        <f ca="1"/>
        <v>0</v>
      </c>
      <c r="C6" t="b">
        <f ca="1"/>
        <v>1</v>
      </c>
      <c r="D6" t="b">
        <f ca="1"/>
        <v>1</v>
      </c>
      <c r="E6" t="b">
        <f t="shared" ca="1" si="0"/>
        <v>1</v>
      </c>
      <c r="F6" t="b">
        <f t="shared" ca="1" si="1"/>
        <v>0</v>
      </c>
      <c r="G6" t="b">
        <f t="shared" si="2"/>
        <v>1</v>
      </c>
      <c r="H6" t="b">
        <f t="shared" ca="1" si="3"/>
        <v>0</v>
      </c>
    </row>
    <row r="7" spans="1:8" x14ac:dyDescent="0.35">
      <c r="A7" t="s">
        <v>189</v>
      </c>
      <c r="B7" t="b">
        <f ca="1"/>
        <v>1</v>
      </c>
      <c r="C7" t="b">
        <f ca="1"/>
        <v>0</v>
      </c>
      <c r="D7" t="b">
        <f ca="1"/>
        <v>0</v>
      </c>
      <c r="E7" t="e">
        <f t="shared" si="0"/>
        <v>#VALUE!</v>
      </c>
      <c r="F7" t="e">
        <f t="shared" si="1"/>
        <v>#VALUE!</v>
      </c>
      <c r="G7" t="b">
        <f t="shared" si="2"/>
        <v>0</v>
      </c>
      <c r="H7" t="b">
        <f t="shared" si="3"/>
        <v>0</v>
      </c>
    </row>
    <row r="8" spans="1:8" x14ac:dyDescent="0.35">
      <c r="A8">
        <v>23</v>
      </c>
      <c r="B8" t="b">
        <f ca="1"/>
        <v>0</v>
      </c>
      <c r="C8" t="b">
        <f ca="1"/>
        <v>1</v>
      </c>
      <c r="D8" t="b">
        <f ca="1"/>
        <v>1</v>
      </c>
      <c r="E8" t="b">
        <f t="shared" si="0"/>
        <v>0</v>
      </c>
      <c r="F8" t="b">
        <f t="shared" si="1"/>
        <v>1</v>
      </c>
      <c r="G8" t="b">
        <f t="shared" si="2"/>
        <v>0</v>
      </c>
      <c r="H8" t="b">
        <f t="shared" si="3"/>
        <v>0</v>
      </c>
    </row>
    <row r="9" spans="1:8" x14ac:dyDescent="0.35">
      <c r="A9" t="s">
        <v>190</v>
      </c>
      <c r="B9" t="b">
        <f ca="1"/>
        <v>1</v>
      </c>
      <c r="C9" t="b">
        <f ca="1"/>
        <v>0</v>
      </c>
      <c r="D9" t="b">
        <f ca="1"/>
        <v>0</v>
      </c>
      <c r="E9" t="e">
        <f t="shared" si="0"/>
        <v>#VALUE!</v>
      </c>
      <c r="F9" t="e">
        <f t="shared" si="1"/>
        <v>#VALUE!</v>
      </c>
      <c r="G9" t="b">
        <f t="shared" si="2"/>
        <v>0</v>
      </c>
      <c r="H9" t="b">
        <f t="shared" si="3"/>
        <v>0</v>
      </c>
    </row>
    <row r="10" spans="1:8" x14ac:dyDescent="0.35">
      <c r="A10" t="b">
        <v>1</v>
      </c>
      <c r="B10" t="b">
        <f ca="1"/>
        <v>0</v>
      </c>
      <c r="C10" t="b">
        <f ca="1"/>
        <v>1</v>
      </c>
      <c r="D10" t="b">
        <f ca="1"/>
        <v>0</v>
      </c>
      <c r="E10" t="e">
        <f t="shared" si="0"/>
        <v>#VALUE!</v>
      </c>
      <c r="F10" t="e">
        <f t="shared" si="1"/>
        <v>#VALUE!</v>
      </c>
      <c r="G10" t="b">
        <f t="shared" si="2"/>
        <v>0</v>
      </c>
      <c r="H10" t="b">
        <f t="shared" si="3"/>
        <v>1</v>
      </c>
    </row>
    <row r="11" spans="1:8" x14ac:dyDescent="0.35">
      <c r="A11">
        <v>89</v>
      </c>
      <c r="B11" t="b">
        <f ca="1"/>
        <v>0</v>
      </c>
      <c r="C11" t="b">
        <f ca="1"/>
        <v>1</v>
      </c>
      <c r="D11" t="b">
        <f ca="1"/>
        <v>1</v>
      </c>
      <c r="E11" t="b">
        <f t="shared" si="0"/>
        <v>0</v>
      </c>
      <c r="F11" t="b">
        <f t="shared" si="1"/>
        <v>1</v>
      </c>
      <c r="G11" t="b">
        <f t="shared" si="2"/>
        <v>0</v>
      </c>
      <c r="H11" t="b">
        <f t="shared" si="3"/>
        <v>0</v>
      </c>
    </row>
    <row r="12" spans="1:8" x14ac:dyDescent="0.35">
      <c r="A12">
        <v>23</v>
      </c>
      <c r="B12" t="b">
        <f ca="1"/>
        <v>0</v>
      </c>
      <c r="C12" t="b">
        <f ca="1"/>
        <v>1</v>
      </c>
      <c r="D12" t="b">
        <f ca="1"/>
        <v>1</v>
      </c>
      <c r="E12" t="b">
        <f t="shared" si="0"/>
        <v>0</v>
      </c>
      <c r="F12" t="b">
        <f t="shared" si="1"/>
        <v>1</v>
      </c>
      <c r="G12" t="b">
        <f t="shared" si="2"/>
        <v>0</v>
      </c>
      <c r="H12" t="b">
        <f t="shared" si="3"/>
        <v>0</v>
      </c>
    </row>
    <row r="13" spans="1:8" x14ac:dyDescent="0.35">
      <c r="A13" t="b">
        <v>0</v>
      </c>
      <c r="B13" t="b">
        <f ca="1"/>
        <v>0</v>
      </c>
      <c r="C13" t="b">
        <f ca="1"/>
        <v>1</v>
      </c>
      <c r="D13" t="b">
        <f ca="1"/>
        <v>0</v>
      </c>
      <c r="E13" t="e">
        <f t="shared" si="0"/>
        <v>#VALUE!</v>
      </c>
      <c r="F13" t="e">
        <f t="shared" si="1"/>
        <v>#VALUE!</v>
      </c>
      <c r="G13" t="b">
        <f t="shared" si="2"/>
        <v>0</v>
      </c>
      <c r="H13" t="b">
        <f t="shared" si="3"/>
        <v>1</v>
      </c>
    </row>
    <row r="14" spans="1:8" x14ac:dyDescent="0.35">
      <c r="A14">
        <v>52</v>
      </c>
      <c r="B14" t="b">
        <f ca="1"/>
        <v>0</v>
      </c>
      <c r="C14" t="b">
        <f ca="1"/>
        <v>1</v>
      </c>
      <c r="D14" t="b">
        <f ca="1"/>
        <v>1</v>
      </c>
      <c r="E14" t="b">
        <f t="shared" si="0"/>
        <v>1</v>
      </c>
      <c r="F14" t="b">
        <f t="shared" si="1"/>
        <v>0</v>
      </c>
      <c r="G14" t="b">
        <f t="shared" si="2"/>
        <v>0</v>
      </c>
      <c r="H14" t="b">
        <f t="shared" si="3"/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ACF5E-B802-4707-BE70-A8315AA524C2}">
  <sheetPr codeName="Sheet15"/>
  <dimension ref="A1:H37"/>
  <sheetViews>
    <sheetView zoomScale="123" zoomScaleNormal="200" workbookViewId="0">
      <selection activeCell="H14" sqref="H14"/>
    </sheetView>
  </sheetViews>
  <sheetFormatPr defaultRowHeight="14.5" x14ac:dyDescent="0.35"/>
  <cols>
    <col min="1" max="1" width="37.6328125" bestFit="1" customWidth="1"/>
    <col min="5" max="5" width="13.36328125" bestFit="1" customWidth="1"/>
    <col min="6" max="6" width="16.08984375" bestFit="1" customWidth="1"/>
  </cols>
  <sheetData>
    <row r="1" spans="1:8" x14ac:dyDescent="0.35">
      <c r="A1" s="1" t="s">
        <v>182</v>
      </c>
      <c r="F1" s="1" t="s">
        <v>0</v>
      </c>
    </row>
    <row r="2" spans="1:8" x14ac:dyDescent="0.35">
      <c r="A2" t="s">
        <v>223</v>
      </c>
      <c r="B2" t="s">
        <v>368</v>
      </c>
      <c r="C2">
        <v>5</v>
      </c>
      <c r="D2" t="s">
        <v>369</v>
      </c>
      <c r="E2">
        <v>8562</v>
      </c>
      <c r="F2" t="s">
        <v>22</v>
      </c>
      <c r="G2" t="s">
        <v>23</v>
      </c>
    </row>
    <row r="3" spans="1:8" x14ac:dyDescent="0.35">
      <c r="A3" t="s">
        <v>230</v>
      </c>
      <c r="B3" t="s">
        <v>370</v>
      </c>
      <c r="C3">
        <v>5</v>
      </c>
      <c r="D3" t="s">
        <v>371</v>
      </c>
      <c r="E3">
        <v>9845</v>
      </c>
      <c r="F3" t="s">
        <v>24</v>
      </c>
      <c r="G3" t="s">
        <v>390</v>
      </c>
    </row>
    <row r="4" spans="1:8" x14ac:dyDescent="0.35">
      <c r="A4" t="s">
        <v>224</v>
      </c>
      <c r="B4" t="s">
        <v>372</v>
      </c>
      <c r="C4">
        <v>10</v>
      </c>
      <c r="D4" t="s">
        <v>373</v>
      </c>
      <c r="E4">
        <v>9878</v>
      </c>
      <c r="F4" t="s">
        <v>395</v>
      </c>
      <c r="G4" t="s">
        <v>396</v>
      </c>
    </row>
    <row r="5" spans="1:8" x14ac:dyDescent="0.35">
      <c r="A5" t="s">
        <v>225</v>
      </c>
      <c r="B5" t="s">
        <v>371</v>
      </c>
      <c r="C5">
        <v>10</v>
      </c>
      <c r="D5" t="s">
        <v>374</v>
      </c>
      <c r="E5">
        <v>2378</v>
      </c>
      <c r="F5" t="s">
        <v>28</v>
      </c>
      <c r="G5" t="s">
        <v>29</v>
      </c>
      <c r="H5" t="s">
        <v>391</v>
      </c>
    </row>
    <row r="6" spans="1:8" x14ac:dyDescent="0.35">
      <c r="A6" t="s">
        <v>226</v>
      </c>
      <c r="B6" t="s">
        <v>375</v>
      </c>
      <c r="C6">
        <v>4</v>
      </c>
      <c r="D6" t="s">
        <v>376</v>
      </c>
      <c r="E6">
        <v>9567</v>
      </c>
      <c r="F6" s="9" t="s">
        <v>30</v>
      </c>
      <c r="G6" t="s">
        <v>392</v>
      </c>
    </row>
    <row r="7" spans="1:8" x14ac:dyDescent="0.35">
      <c r="A7" t="s">
        <v>227</v>
      </c>
      <c r="B7" t="s">
        <v>377</v>
      </c>
      <c r="C7">
        <v>7</v>
      </c>
      <c r="D7" t="s">
        <v>378</v>
      </c>
      <c r="E7">
        <v>8923</v>
      </c>
      <c r="F7" t="s">
        <v>32</v>
      </c>
      <c r="G7" t="s">
        <v>33</v>
      </c>
    </row>
    <row r="8" spans="1:8" x14ac:dyDescent="0.35">
      <c r="A8" t="s">
        <v>228</v>
      </c>
      <c r="B8" t="s">
        <v>379</v>
      </c>
      <c r="C8">
        <v>11</v>
      </c>
      <c r="D8" t="s">
        <v>380</v>
      </c>
      <c r="E8">
        <v>5679</v>
      </c>
      <c r="F8" t="s">
        <v>34</v>
      </c>
      <c r="G8" t="s">
        <v>35</v>
      </c>
    </row>
    <row r="9" spans="1:8" x14ac:dyDescent="0.35">
      <c r="A9" t="s">
        <v>229</v>
      </c>
      <c r="B9" t="s">
        <v>381</v>
      </c>
      <c r="C9">
        <v>9</v>
      </c>
      <c r="D9" t="s">
        <v>378</v>
      </c>
      <c r="E9">
        <v>7453</v>
      </c>
      <c r="F9" t="s">
        <v>36</v>
      </c>
      <c r="G9" t="s">
        <v>37</v>
      </c>
    </row>
    <row r="10" spans="1:8" x14ac:dyDescent="0.35">
      <c r="A10" t="s">
        <v>231</v>
      </c>
      <c r="B10" t="s">
        <v>382</v>
      </c>
      <c r="C10">
        <v>6</v>
      </c>
      <c r="D10" t="s">
        <v>383</v>
      </c>
      <c r="E10">
        <v>4598</v>
      </c>
      <c r="F10" t="s">
        <v>38</v>
      </c>
      <c r="G10" t="s">
        <v>39</v>
      </c>
    </row>
    <row r="11" spans="1:8" x14ac:dyDescent="0.35">
      <c r="A11" t="s">
        <v>232</v>
      </c>
      <c r="B11" t="s">
        <v>384</v>
      </c>
      <c r="C11">
        <v>3</v>
      </c>
      <c r="D11" t="s">
        <v>385</v>
      </c>
      <c r="E11">
        <v>8345</v>
      </c>
      <c r="F11" t="s">
        <v>38</v>
      </c>
      <c r="G11" t="s">
        <v>40</v>
      </c>
    </row>
    <row r="12" spans="1:8" x14ac:dyDescent="0.35">
      <c r="A12" t="s">
        <v>233</v>
      </c>
      <c r="B12" t="s">
        <v>386</v>
      </c>
      <c r="C12">
        <v>5</v>
      </c>
      <c r="D12" t="s">
        <v>371</v>
      </c>
      <c r="E12">
        <v>3456</v>
      </c>
      <c r="F12" t="s">
        <v>397</v>
      </c>
      <c r="G12" t="s">
        <v>398</v>
      </c>
    </row>
    <row r="15" spans="1:8" x14ac:dyDescent="0.35">
      <c r="A15" t="s">
        <v>387</v>
      </c>
    </row>
    <row r="16" spans="1:8" x14ac:dyDescent="0.35">
      <c r="A16" t="s">
        <v>388</v>
      </c>
    </row>
    <row r="17" spans="1:5" x14ac:dyDescent="0.35">
      <c r="A17" t="s">
        <v>389</v>
      </c>
    </row>
    <row r="18" spans="1:5" x14ac:dyDescent="0.35">
      <c r="A18" t="s">
        <v>393</v>
      </c>
    </row>
    <row r="19" spans="1:5" x14ac:dyDescent="0.35">
      <c r="A19" t="s">
        <v>394</v>
      </c>
    </row>
    <row r="20" spans="1:5" x14ac:dyDescent="0.35">
      <c r="A20" t="s">
        <v>410</v>
      </c>
    </row>
    <row r="21" spans="1:5" x14ac:dyDescent="0.35">
      <c r="A21" t="s">
        <v>412</v>
      </c>
    </row>
    <row r="22" spans="1:5" x14ac:dyDescent="0.35">
      <c r="A22" t="s">
        <v>411</v>
      </c>
    </row>
    <row r="23" spans="1:5" x14ac:dyDescent="0.35">
      <c r="A23" t="s">
        <v>411</v>
      </c>
    </row>
    <row r="24" spans="1:5" x14ac:dyDescent="0.35">
      <c r="A24" t="s">
        <v>438</v>
      </c>
    </row>
    <row r="25" spans="1:5" x14ac:dyDescent="0.35">
      <c r="A25" t="s">
        <v>439</v>
      </c>
    </row>
    <row r="27" spans="1:5" x14ac:dyDescent="0.35">
      <c r="A27" t="s">
        <v>399</v>
      </c>
      <c r="B27" t="s">
        <v>368</v>
      </c>
      <c r="C27">
        <v>5</v>
      </c>
      <c r="D27" t="s">
        <v>369</v>
      </c>
      <c r="E27">
        <v>8562</v>
      </c>
    </row>
    <row r="28" spans="1:5" x14ac:dyDescent="0.35">
      <c r="A28" t="s">
        <v>400</v>
      </c>
      <c r="B28" t="s">
        <v>370</v>
      </c>
      <c r="C28">
        <v>5</v>
      </c>
      <c r="D28" t="s">
        <v>371</v>
      </c>
      <c r="E28">
        <v>9845</v>
      </c>
    </row>
    <row r="29" spans="1:5" x14ac:dyDescent="0.35">
      <c r="A29" t="s">
        <v>401</v>
      </c>
      <c r="B29" t="s">
        <v>372</v>
      </c>
      <c r="C29">
        <v>10</v>
      </c>
      <c r="D29" t="s">
        <v>373</v>
      </c>
      <c r="E29">
        <v>9878</v>
      </c>
    </row>
    <row r="30" spans="1:5" x14ac:dyDescent="0.35">
      <c r="A30" t="s">
        <v>402</v>
      </c>
      <c r="B30" t="s">
        <v>371</v>
      </c>
      <c r="C30">
        <v>10</v>
      </c>
      <c r="D30" t="s">
        <v>374</v>
      </c>
      <c r="E30">
        <v>2378</v>
      </c>
    </row>
    <row r="31" spans="1:5" x14ac:dyDescent="0.35">
      <c r="A31" t="s">
        <v>403</v>
      </c>
      <c r="B31" t="s">
        <v>375</v>
      </c>
      <c r="C31">
        <v>4</v>
      </c>
      <c r="D31" t="s">
        <v>376</v>
      </c>
      <c r="E31">
        <v>9567</v>
      </c>
    </row>
    <row r="32" spans="1:5" x14ac:dyDescent="0.35">
      <c r="A32" t="s">
        <v>404</v>
      </c>
      <c r="B32" t="s">
        <v>377</v>
      </c>
      <c r="C32">
        <v>7</v>
      </c>
      <c r="D32" t="s">
        <v>378</v>
      </c>
      <c r="E32">
        <v>8923</v>
      </c>
    </row>
    <row r="33" spans="1:5" x14ac:dyDescent="0.35">
      <c r="A33" t="s">
        <v>405</v>
      </c>
      <c r="B33" t="s">
        <v>379</v>
      </c>
      <c r="C33">
        <v>11</v>
      </c>
      <c r="D33" t="s">
        <v>380</v>
      </c>
      <c r="E33">
        <v>5679</v>
      </c>
    </row>
    <row r="34" spans="1:5" x14ac:dyDescent="0.35">
      <c r="A34" t="s">
        <v>406</v>
      </c>
      <c r="B34" t="s">
        <v>381</v>
      </c>
      <c r="C34">
        <v>9</v>
      </c>
      <c r="D34" t="s">
        <v>378</v>
      </c>
      <c r="E34">
        <v>7453</v>
      </c>
    </row>
    <row r="35" spans="1:5" x14ac:dyDescent="0.35">
      <c r="A35" t="s">
        <v>407</v>
      </c>
      <c r="B35" t="s">
        <v>382</v>
      </c>
      <c r="C35">
        <v>6</v>
      </c>
      <c r="D35" t="s">
        <v>383</v>
      </c>
      <c r="E35">
        <v>4598</v>
      </c>
    </row>
    <row r="36" spans="1:5" x14ac:dyDescent="0.35">
      <c r="A36" t="s">
        <v>408</v>
      </c>
      <c r="B36" t="s">
        <v>384</v>
      </c>
      <c r="C36">
        <v>3</v>
      </c>
      <c r="D36" t="s">
        <v>385</v>
      </c>
      <c r="E36">
        <v>8345</v>
      </c>
    </row>
    <row r="37" spans="1:5" x14ac:dyDescent="0.35">
      <c r="A37" t="s">
        <v>409</v>
      </c>
      <c r="B37" t="s">
        <v>386</v>
      </c>
      <c r="C37">
        <v>5</v>
      </c>
      <c r="D37" t="s">
        <v>371</v>
      </c>
      <c r="E37">
        <v>3456</v>
      </c>
    </row>
  </sheetData>
  <dataValidations count="1">
    <dataValidation type="custom" allowBlank="1" showInputMessage="1" showErrorMessage="1" sqref="F1:F11" xr:uid="{D71F1389-38CE-4CA7-8BAA-6AC68ED1F1DC}">
      <formula1>ISTEXT(F1)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CE37C-21F3-433B-9E62-B4CF94F48534}">
  <sheetPr codeName="Sheet16"/>
  <dimension ref="A1:F11"/>
  <sheetViews>
    <sheetView tabSelected="1" zoomScale="170" zoomScaleNormal="170" workbookViewId="0">
      <selection activeCell="E5" sqref="E3:E5"/>
    </sheetView>
  </sheetViews>
  <sheetFormatPr defaultRowHeight="14.5" x14ac:dyDescent="0.35"/>
  <cols>
    <col min="1" max="2" width="9.81640625" bestFit="1" customWidth="1"/>
    <col min="3" max="3" width="14.36328125" customWidth="1"/>
    <col min="4" max="4" width="20.6328125" bestFit="1" customWidth="1"/>
    <col min="5" max="5" width="22.81640625" bestFit="1" customWidth="1"/>
    <col min="6" max="6" width="26.81640625" customWidth="1"/>
  </cols>
  <sheetData>
    <row r="1" spans="1:6" x14ac:dyDescent="0.35">
      <c r="A1" s="1" t="s">
        <v>41</v>
      </c>
      <c r="B1" s="1" t="s">
        <v>42</v>
      </c>
      <c r="C1" s="1" t="s">
        <v>234</v>
      </c>
      <c r="D1" s="1" t="s">
        <v>235</v>
      </c>
      <c r="E1" s="1"/>
      <c r="F1" s="1"/>
    </row>
    <row r="2" spans="1:6" x14ac:dyDescent="0.35">
      <c r="A2" t="s">
        <v>22</v>
      </c>
      <c r="B2" t="s">
        <v>23</v>
      </c>
      <c r="C2" t="s">
        <v>413</v>
      </c>
      <c r="D2" s="11" t="s">
        <v>424</v>
      </c>
      <c r="E2" s="11" t="s">
        <v>423</v>
      </c>
      <c r="F2" s="11"/>
    </row>
    <row r="3" spans="1:6" x14ac:dyDescent="0.35">
      <c r="A3" t="s">
        <v>24</v>
      </c>
      <c r="B3" t="s">
        <v>25</v>
      </c>
      <c r="C3" t="s">
        <v>414</v>
      </c>
      <c r="D3" s="11" t="s">
        <v>425</v>
      </c>
      <c r="E3" s="11"/>
      <c r="F3" s="11"/>
    </row>
    <row r="4" spans="1:6" x14ac:dyDescent="0.35">
      <c r="A4" t="s">
        <v>26</v>
      </c>
      <c r="B4" t="s">
        <v>27</v>
      </c>
      <c r="C4" t="s">
        <v>415</v>
      </c>
      <c r="D4" s="11" t="s">
        <v>426</v>
      </c>
      <c r="E4" s="11"/>
      <c r="F4" s="11"/>
    </row>
    <row r="5" spans="1:6" x14ac:dyDescent="0.35">
      <c r="A5" t="s">
        <v>28</v>
      </c>
      <c r="B5" t="s">
        <v>29</v>
      </c>
      <c r="C5" t="s">
        <v>416</v>
      </c>
      <c r="D5" s="11" t="s">
        <v>427</v>
      </c>
      <c r="E5" s="11"/>
      <c r="F5" s="11"/>
    </row>
    <row r="6" spans="1:6" x14ac:dyDescent="0.35">
      <c r="A6" t="s">
        <v>30</v>
      </c>
      <c r="B6" t="s">
        <v>31</v>
      </c>
      <c r="C6" t="s">
        <v>417</v>
      </c>
      <c r="D6" s="11" t="s">
        <v>428</v>
      </c>
      <c r="E6" s="11"/>
      <c r="F6" s="11"/>
    </row>
    <row r="7" spans="1:6" x14ac:dyDescent="0.35">
      <c r="A7" t="s">
        <v>32</v>
      </c>
      <c r="B7" t="s">
        <v>33</v>
      </c>
      <c r="C7" t="s">
        <v>418</v>
      </c>
      <c r="D7" s="11" t="s">
        <v>429</v>
      </c>
      <c r="E7" s="11"/>
      <c r="F7" s="11"/>
    </row>
    <row r="8" spans="1:6" x14ac:dyDescent="0.35">
      <c r="A8" t="s">
        <v>34</v>
      </c>
      <c r="B8" t="s">
        <v>35</v>
      </c>
      <c r="C8" t="s">
        <v>419</v>
      </c>
      <c r="D8" s="11" t="s">
        <v>430</v>
      </c>
      <c r="E8" s="11"/>
      <c r="F8" s="11"/>
    </row>
    <row r="9" spans="1:6" x14ac:dyDescent="0.35">
      <c r="A9" t="s">
        <v>36</v>
      </c>
      <c r="B9" t="s">
        <v>37</v>
      </c>
      <c r="C9" t="s">
        <v>420</v>
      </c>
      <c r="D9" s="11" t="s">
        <v>431</v>
      </c>
      <c r="E9" s="11"/>
      <c r="F9" s="11"/>
    </row>
    <row r="10" spans="1:6" x14ac:dyDescent="0.35">
      <c r="A10" t="s">
        <v>38</v>
      </c>
      <c r="B10" t="s">
        <v>39</v>
      </c>
      <c r="C10" t="s">
        <v>421</v>
      </c>
      <c r="D10" s="11" t="s">
        <v>432</v>
      </c>
      <c r="E10" s="11"/>
      <c r="F10" s="11"/>
    </row>
    <row r="11" spans="1:6" x14ac:dyDescent="0.35">
      <c r="A11" t="s">
        <v>38</v>
      </c>
      <c r="B11" t="s">
        <v>40</v>
      </c>
      <c r="C11" t="s">
        <v>422</v>
      </c>
      <c r="D11" s="11" t="s">
        <v>433</v>
      </c>
      <c r="E11" s="11"/>
      <c r="F11" s="11"/>
    </row>
  </sheetData>
  <dataValidations disablePrompts="1" count="1">
    <dataValidation type="custom" allowBlank="1" showInputMessage="1" showErrorMessage="1" sqref="A1:A11" xr:uid="{95110F7C-F8EF-4062-9505-95C07F69A516}">
      <formula1>ISTEXT(A1)</formula1>
    </dataValidation>
  </dataValidations>
  <hyperlinks>
    <hyperlink ref="D2" r:id="rId1" xr:uid="{9229532A-9949-415A-9257-C89E22271426}"/>
    <hyperlink ref="D3" r:id="rId2" xr:uid="{54DA68C0-D37D-4685-9D5D-33F83B9E114E}"/>
    <hyperlink ref="D4" r:id="rId3" xr:uid="{C4FD7D30-6542-4D10-866B-02B9EDAA0E2E}"/>
    <hyperlink ref="D5" r:id="rId4" xr:uid="{C35A2C22-0595-4B86-8150-60313D80B370}"/>
    <hyperlink ref="D6" r:id="rId5" xr:uid="{24D30A5F-1B0C-4083-B47D-F3BB029F3F86}"/>
    <hyperlink ref="D7" r:id="rId6" xr:uid="{9341BB85-41CC-4AEC-B4C1-26799E2569F0}"/>
    <hyperlink ref="D8" r:id="rId7" xr:uid="{8661F97C-DE8E-4B1B-A981-48A2B6A2BC4F}"/>
    <hyperlink ref="D9" r:id="rId8" xr:uid="{FA3FC234-6A08-4197-8A1D-669FFF778540}"/>
    <hyperlink ref="D10" r:id="rId9" xr:uid="{D8066074-50C8-4620-A70B-6C36E808B0CB}"/>
    <hyperlink ref="D11" r:id="rId10" xr:uid="{3CCD4A96-CB28-4727-A42A-628CE125AC2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Introduction</vt:lpstr>
      <vt:lpstr>Day-1</vt:lpstr>
      <vt:lpstr>Transpose</vt:lpstr>
      <vt:lpstr>Paste Link</vt:lpstr>
      <vt:lpstr>Paste Special Operations</vt:lpstr>
      <vt:lpstr>Math &amp; Trigo</vt:lpstr>
      <vt:lpstr>IFS Functions</vt:lpstr>
      <vt:lpstr>Referencing</vt:lpstr>
      <vt:lpstr>Mixed Referencing</vt:lpstr>
      <vt:lpstr>Naming Range</vt:lpstr>
      <vt:lpstr>Date &amp; Time</vt:lpstr>
      <vt:lpstr>Fill Series</vt:lpstr>
      <vt:lpstr>Information</vt:lpstr>
      <vt:lpstr>Text To Dolumn</vt:lpstr>
      <vt:lpstr>Flash Fill</vt:lpstr>
      <vt:lpstr>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Dharmendra Dubey</dc:creator>
  <cp:lastModifiedBy>Varunesh T</cp:lastModifiedBy>
  <dcterms:created xsi:type="dcterms:W3CDTF">2022-05-04T15:22:08Z</dcterms:created>
  <dcterms:modified xsi:type="dcterms:W3CDTF">2026-06-11T05:53:10Z</dcterms:modified>
</cp:coreProperties>
</file>