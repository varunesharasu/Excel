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Besant\Excel\Power BI\"/>
    </mc:Choice>
  </mc:AlternateContent>
  <xr:revisionPtr revIDLastSave="0" documentId="13_ncr:1_{BAB219A9-9881-41C5-8353-6F155464C39B}" xr6:coauthVersionLast="47" xr6:coauthVersionMax="47" xr10:uidLastSave="{00000000-0000-0000-0000-000000000000}"/>
  <bookViews>
    <workbookView xWindow="-110" yWindow="-110" windowWidth="19420" windowHeight="11020" firstSheet="1" activeTab="1" xr2:uid="{0B997C0F-9D01-4325-91DB-AFDC3A6ADE0E}"/>
  </bookViews>
  <sheets>
    <sheet name="Sheet1" sheetId="1" r:id="rId1"/>
    <sheet name="All-in-one" sheetId="2" r:id="rId2"/>
    <sheet name="product wise sales count" sheetId="3" r:id="rId3"/>
    <sheet name="product wise revenue and profit" sheetId="4" r:id="rId4"/>
    <sheet name="create pivot table for each yea" sheetId="5" r:id="rId5"/>
    <sheet name="performance of each cookie per " sheetId="6" r:id="rId6"/>
    <sheet name="Sheet7" sheetId="7" r:id="rId7"/>
  </sheets>
  <definedNames>
    <definedName name="Slicer_City">#N/A</definedName>
    <definedName name="Slicer_Cookie_Typ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okies types_25e5e45b-dd76-488e-a0eb-fca175353ec9" name="Cookies types" connection="Excel Orders"/>
          <x15:modelTable id="Customer_2f738b0f-45aa-42ac-afa4-3ab336d06a8a" name="Customer" connection="Excel Orders"/>
          <x15:modelTable id="Orders_8f7de9c0-c1d8-4d54-98a5-9773a62fb266" name="Orders" connection="Excel Orders"/>
        </x15:modelTables>
        <x15:modelRelationships>
          <x15:modelRelationship fromTable="Orders" fromColumn="Customer ID" toTable="Customer" toColumn="Customer ID"/>
          <x15:modelRelationship fromTable="Orders" fromColumn="Product" toTable="Cookies types" toColumn="Cookie Type"/>
        </x15:modelRelationships>
        <x15:extLst>
          <ext xmlns:x16="http://schemas.microsoft.com/office/spreadsheetml/2014/11/main" uri="{9835A34E-60A6-4A7C-AAB8-D5F71C897F49}">
            <x16:modelTimeGroupings>
              <x16:modelTimeGrouping tableName="Order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A792F-3147-4211-9F28-45FC3675A6AB}" name="Excel Orders" type="100" refreshedVersion="0">
    <extLst>
      <ext xmlns:x15="http://schemas.microsoft.com/office/spreadsheetml/2010/11/main" uri="{DE250136-89BD-433C-8126-D09CA5730AF9}">
        <x15:connection id="548dd565-0c36-4dad-89b3-044797cdc574"/>
      </ext>
    </extLst>
  </connection>
  <connection id="2" xr16:uid="{B331C33D-8AF6-4F4F-94A3-0BD5FA45FE6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<sst xmlns="http://schemas.openxmlformats.org/spreadsheetml/2006/main" count="159" uniqueCount="48">
  <si>
    <t>Row Labels</t>
  </si>
  <si>
    <t>Grand Total</t>
  </si>
  <si>
    <t>Count of Order ID</t>
  </si>
  <si>
    <t>Chocolate Chip</t>
  </si>
  <si>
    <t>Fortune Cookie</t>
  </si>
  <si>
    <t>Oatmeal Raisin</t>
  </si>
  <si>
    <t>Snickerdoodle</t>
  </si>
  <si>
    <t>Sugar</t>
  </si>
  <si>
    <t>White Chocolate Macadamia Nut</t>
  </si>
  <si>
    <t>ABC Groceries</t>
  </si>
  <si>
    <t>ACME Bites</t>
  </si>
  <si>
    <t>Park &amp; Shop Convenience Stores</t>
  </si>
  <si>
    <t>Tres Delicious</t>
  </si>
  <si>
    <t>Wholesome Foods</t>
  </si>
  <si>
    <t>Sum of Profit</t>
  </si>
  <si>
    <t>Sum of Revenue</t>
  </si>
  <si>
    <t>Count of Units Sold</t>
  </si>
  <si>
    <t>product wise revenue and profit</t>
  </si>
  <si>
    <t>create pivot table for each year, each month wise sales values for each product.</t>
  </si>
  <si>
    <t>Column Labels</t>
  </si>
  <si>
    <t>2019</t>
  </si>
  <si>
    <t>2020</t>
  </si>
  <si>
    <t>Sep</t>
  </si>
  <si>
    <t>Oct</t>
  </si>
  <si>
    <t>Nov</t>
  </si>
  <si>
    <t>Dec</t>
  </si>
  <si>
    <t>Jan</t>
  </si>
  <si>
    <t>Feb</t>
  </si>
  <si>
    <t>Mar</t>
  </si>
  <si>
    <t>Apr</t>
  </si>
  <si>
    <t>May</t>
  </si>
  <si>
    <t>Jun</t>
  </si>
  <si>
    <t>Jul</t>
  </si>
  <si>
    <t>Aug</t>
  </si>
  <si>
    <t>each city and each cokkies wise performance</t>
  </si>
  <si>
    <t>product wise sales count</t>
  </si>
  <si>
    <t>Green Bay</t>
  </si>
  <si>
    <t>Huntington</t>
  </si>
  <si>
    <t>Mobile</t>
  </si>
  <si>
    <t>Salt Lake City</t>
  </si>
  <si>
    <t>Seattle</t>
  </si>
  <si>
    <t>select the required data</t>
  </si>
  <si>
    <t>then select power pivot analyses</t>
  </si>
  <si>
    <t>then click pivot chart</t>
  </si>
  <si>
    <t>there select the type of chart required by you.</t>
  </si>
  <si>
    <t>performance of each cookie per city</t>
  </si>
  <si>
    <t>Sum of Cost</t>
  </si>
  <si>
    <t>Avg Purchase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</si>
</sst>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0" fillId="0" borderId="0" xfId="0" applyNumberFormat="1"/>
    <xf numFmtId="164" fontId="0" fillId="0" borderId="0" xfId="0" applyNumberFormat="1"/>
  </cellXfs>
  <cellStyles count="1">
    <cellStyle name="Normal" xfId="0" builtinId="0"/>
  </cellStyles>
  <dxfs count="7">
    <dxf>
      <numFmt numFmtId="2" formatCode="0.00"/>
    </dxf>
    <dxf>
      <numFmt numFmtId="1" formatCode="0"/>
    </dxf>
    <dxf>
      <numFmt numFmtId="2" formatCode="0.00"/>
    </dxf>
    <dxf>
      <numFmt numFmtId="1" formatCode="0"/>
    </dxf>
    <dxf>
      <numFmt numFmtId="1" formatCode="0"/>
    </dxf>
    <dxf>
      <numFmt numFmtId="0" formatCode="General"/>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BI.xlsx]product wise sales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wise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wise sales count'!$C$5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sales count'!$B$6:$B$11</c:f>
              <c:strCache>
                <c:ptCount val="5"/>
                <c:pt idx="0">
                  <c:v>ABC Groceries</c:v>
                </c:pt>
                <c:pt idx="1">
                  <c:v>ACME Bites</c:v>
                </c:pt>
                <c:pt idx="2">
                  <c:v>Park &amp; Shop Convenience Stores</c:v>
                </c:pt>
                <c:pt idx="3">
                  <c:v>Tres Delicious</c:v>
                </c:pt>
                <c:pt idx="4">
                  <c:v>Wholesome Foods</c:v>
                </c:pt>
              </c:strCache>
            </c:strRef>
          </c:cat>
          <c:val>
            <c:numRef>
              <c:f>'product wise sales count'!$C$6:$C$11</c:f>
              <c:numCache>
                <c:formatCode>General</c:formatCode>
                <c:ptCount val="5"/>
                <c:pt idx="0">
                  <c:v>132</c:v>
                </c:pt>
                <c:pt idx="1">
                  <c:v>206</c:v>
                </c:pt>
                <c:pt idx="2">
                  <c:v>114</c:v>
                </c:pt>
                <c:pt idx="3">
                  <c:v>92</c:v>
                </c:pt>
                <c:pt idx="4">
                  <c:v>156</c:v>
                </c:pt>
              </c:numCache>
            </c:numRef>
          </c:val>
          <c:extLst>
            <c:ext xmlns:c16="http://schemas.microsoft.com/office/drawing/2014/chart" uri="{C3380CC4-5D6E-409C-BE32-E72D297353CC}">
              <c16:uniqueId val="{00000000-7937-4984-905F-F7633AFFDE92}"/>
            </c:ext>
          </c:extLst>
        </c:ser>
        <c:dLbls>
          <c:dLblPos val="outEnd"/>
          <c:showLegendKey val="0"/>
          <c:showVal val="1"/>
          <c:showCatName val="0"/>
          <c:showSerName val="0"/>
          <c:showPercent val="0"/>
          <c:showBubbleSize val="0"/>
        </c:dLbls>
        <c:gapWidth val="219"/>
        <c:overlap val="-27"/>
        <c:axId val="462389327"/>
        <c:axId val="462389807"/>
      </c:barChart>
      <c:catAx>
        <c:axId val="46238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89807"/>
        <c:crosses val="autoZero"/>
        <c:auto val="1"/>
        <c:lblAlgn val="ctr"/>
        <c:lblOffset val="100"/>
        <c:noMultiLvlLbl val="0"/>
      </c:catAx>
      <c:valAx>
        <c:axId val="4623898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BI.xlsx]create pivot table for each yea!PivotTable3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'create pivot table for each yea'!$C$5:$C$6</c:f>
              <c:strCache>
                <c:ptCount val="1"/>
                <c:pt idx="0">
                  <c:v>Chocolate Chip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yea'!$C$7:$C$25</c:f>
              <c:numCache>
                <c:formatCode>General</c:formatCode>
                <c:ptCount val="16"/>
                <c:pt idx="0">
                  <c:v>78950</c:v>
                </c:pt>
                <c:pt idx="1">
                  <c:v>133945</c:v>
                </c:pt>
                <c:pt idx="2">
                  <c:v>104060</c:v>
                </c:pt>
                <c:pt idx="3">
                  <c:v>94280</c:v>
                </c:pt>
                <c:pt idx="4">
                  <c:v>117990</c:v>
                </c:pt>
                <c:pt idx="5">
                  <c:v>73145</c:v>
                </c:pt>
                <c:pt idx="6">
                  <c:v>83475</c:v>
                </c:pt>
                <c:pt idx="7">
                  <c:v>118265</c:v>
                </c:pt>
                <c:pt idx="8">
                  <c:v>77085</c:v>
                </c:pt>
                <c:pt idx="9">
                  <c:v>127990</c:v>
                </c:pt>
                <c:pt idx="10">
                  <c:v>113187.5</c:v>
                </c:pt>
                <c:pt idx="11">
                  <c:v>94170</c:v>
                </c:pt>
                <c:pt idx="12">
                  <c:v>87080</c:v>
                </c:pt>
                <c:pt idx="13">
                  <c:v>148115</c:v>
                </c:pt>
                <c:pt idx="14">
                  <c:v>70645</c:v>
                </c:pt>
                <c:pt idx="15">
                  <c:v>168815</c:v>
                </c:pt>
              </c:numCache>
            </c:numRef>
          </c:val>
          <c:smooth val="0"/>
          <c:extLst>
            <c:ext xmlns:c16="http://schemas.microsoft.com/office/drawing/2014/chart" uri="{C3380CC4-5D6E-409C-BE32-E72D297353CC}">
              <c16:uniqueId val="{00000000-1463-4BD0-B3E5-0AF618E41792}"/>
            </c:ext>
          </c:extLst>
        </c:ser>
        <c:ser>
          <c:idx val="1"/>
          <c:order val="1"/>
          <c:tx>
            <c:strRef>
              <c:f>'create pivot table for each yea'!$D$5:$D$6</c:f>
              <c:strCache>
                <c:ptCount val="1"/>
                <c:pt idx="0">
                  <c:v>Fortune Cookie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yea'!$D$7:$D$25</c:f>
              <c:numCache>
                <c:formatCode>General</c:formatCode>
                <c:ptCount val="16"/>
                <c:pt idx="0">
                  <c:v>6620</c:v>
                </c:pt>
                <c:pt idx="1">
                  <c:v>17608</c:v>
                </c:pt>
                <c:pt idx="2">
                  <c:v>7821</c:v>
                </c:pt>
                <c:pt idx="3">
                  <c:v>4231</c:v>
                </c:pt>
                <c:pt idx="4">
                  <c:v>7700.5</c:v>
                </c:pt>
                <c:pt idx="5">
                  <c:v>5405</c:v>
                </c:pt>
                <c:pt idx="6">
                  <c:v>8280</c:v>
                </c:pt>
                <c:pt idx="7">
                  <c:v>10055.5</c:v>
                </c:pt>
                <c:pt idx="8">
                  <c:v>8300</c:v>
                </c:pt>
                <c:pt idx="9">
                  <c:v>14069</c:v>
                </c:pt>
                <c:pt idx="10">
                  <c:v>10568</c:v>
                </c:pt>
                <c:pt idx="11">
                  <c:v>6209</c:v>
                </c:pt>
                <c:pt idx="12">
                  <c:v>7826</c:v>
                </c:pt>
                <c:pt idx="13">
                  <c:v>14304</c:v>
                </c:pt>
                <c:pt idx="14">
                  <c:v>10418</c:v>
                </c:pt>
                <c:pt idx="15">
                  <c:v>14783</c:v>
                </c:pt>
              </c:numCache>
            </c:numRef>
          </c:val>
          <c:smooth val="0"/>
          <c:extLst>
            <c:ext xmlns:c16="http://schemas.microsoft.com/office/drawing/2014/chart" uri="{C3380CC4-5D6E-409C-BE32-E72D297353CC}">
              <c16:uniqueId val="{00000001-1463-4BD0-B3E5-0AF618E41792}"/>
            </c:ext>
          </c:extLst>
        </c:ser>
        <c:ser>
          <c:idx val="2"/>
          <c:order val="2"/>
          <c:tx>
            <c:strRef>
              <c:f>'create pivot table for each yea'!$E$5:$E$6</c:f>
              <c:strCache>
                <c:ptCount val="1"/>
                <c:pt idx="0">
                  <c:v>Oatmeal Raisin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yea'!$E$7:$E$25</c:f>
              <c:numCache>
                <c:formatCode>General</c:formatCode>
                <c:ptCount val="16"/>
                <c:pt idx="0">
                  <c:v>33455</c:v>
                </c:pt>
                <c:pt idx="1">
                  <c:v>70220</c:v>
                </c:pt>
                <c:pt idx="2">
                  <c:v>28545</c:v>
                </c:pt>
                <c:pt idx="3">
                  <c:v>36220</c:v>
                </c:pt>
                <c:pt idx="4">
                  <c:v>50097.5</c:v>
                </c:pt>
                <c:pt idx="5">
                  <c:v>42375</c:v>
                </c:pt>
                <c:pt idx="6">
                  <c:v>38580</c:v>
                </c:pt>
                <c:pt idx="7">
                  <c:v>53835</c:v>
                </c:pt>
                <c:pt idx="8">
                  <c:v>51185</c:v>
                </c:pt>
                <c:pt idx="9">
                  <c:v>69925</c:v>
                </c:pt>
                <c:pt idx="10">
                  <c:v>58102.5</c:v>
                </c:pt>
                <c:pt idx="11">
                  <c:v>44325</c:v>
                </c:pt>
                <c:pt idx="12">
                  <c:v>46200</c:v>
                </c:pt>
                <c:pt idx="13">
                  <c:v>63060</c:v>
                </c:pt>
                <c:pt idx="14">
                  <c:v>32545</c:v>
                </c:pt>
                <c:pt idx="15">
                  <c:v>57905</c:v>
                </c:pt>
              </c:numCache>
            </c:numRef>
          </c:val>
          <c:smooth val="0"/>
          <c:extLst>
            <c:ext xmlns:c16="http://schemas.microsoft.com/office/drawing/2014/chart" uri="{C3380CC4-5D6E-409C-BE32-E72D297353CC}">
              <c16:uniqueId val="{00000002-1463-4BD0-B3E5-0AF618E41792}"/>
            </c:ext>
          </c:extLst>
        </c:ser>
        <c:ser>
          <c:idx val="3"/>
          <c:order val="3"/>
          <c:tx>
            <c:strRef>
              <c:f>'create pivot table for each yea'!$F$5:$F$6</c:f>
              <c:strCache>
                <c:ptCount val="1"/>
                <c:pt idx="0">
                  <c:v>Snickerdoodle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yea'!$F$7:$F$25</c:f>
              <c:numCache>
                <c:formatCode>General</c:formatCode>
                <c:ptCount val="16"/>
                <c:pt idx="0">
                  <c:v>24180</c:v>
                </c:pt>
                <c:pt idx="1">
                  <c:v>46284</c:v>
                </c:pt>
                <c:pt idx="2">
                  <c:v>30760</c:v>
                </c:pt>
                <c:pt idx="3">
                  <c:v>24392</c:v>
                </c:pt>
                <c:pt idx="4">
                  <c:v>26314</c:v>
                </c:pt>
                <c:pt idx="5">
                  <c:v>30012</c:v>
                </c:pt>
                <c:pt idx="6">
                  <c:v>25904</c:v>
                </c:pt>
                <c:pt idx="7">
                  <c:v>54362</c:v>
                </c:pt>
                <c:pt idx="8">
                  <c:v>19200</c:v>
                </c:pt>
                <c:pt idx="9">
                  <c:v>60220</c:v>
                </c:pt>
                <c:pt idx="10">
                  <c:v>27840</c:v>
                </c:pt>
                <c:pt idx="11">
                  <c:v>29460</c:v>
                </c:pt>
                <c:pt idx="12">
                  <c:v>32820</c:v>
                </c:pt>
                <c:pt idx="13">
                  <c:v>60328</c:v>
                </c:pt>
                <c:pt idx="14">
                  <c:v>38052</c:v>
                </c:pt>
                <c:pt idx="15">
                  <c:v>57256</c:v>
                </c:pt>
              </c:numCache>
            </c:numRef>
          </c:val>
          <c:smooth val="0"/>
          <c:extLst>
            <c:ext xmlns:c16="http://schemas.microsoft.com/office/drawing/2014/chart" uri="{C3380CC4-5D6E-409C-BE32-E72D297353CC}">
              <c16:uniqueId val="{00000003-1463-4BD0-B3E5-0AF618E41792}"/>
            </c:ext>
          </c:extLst>
        </c:ser>
        <c:ser>
          <c:idx val="4"/>
          <c:order val="4"/>
          <c:tx>
            <c:strRef>
              <c:f>'create pivot table for each yea'!$G$5:$G$6</c:f>
              <c:strCache>
                <c:ptCount val="1"/>
                <c:pt idx="0">
                  <c:v>Sugar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yea'!$G$7:$G$25</c:f>
              <c:numCache>
                <c:formatCode>General</c:formatCode>
                <c:ptCount val="16"/>
                <c:pt idx="0">
                  <c:v>23859</c:v>
                </c:pt>
                <c:pt idx="1">
                  <c:v>35322</c:v>
                </c:pt>
                <c:pt idx="2">
                  <c:v>39768</c:v>
                </c:pt>
                <c:pt idx="3">
                  <c:v>25803</c:v>
                </c:pt>
                <c:pt idx="4">
                  <c:v>29902.5</c:v>
                </c:pt>
                <c:pt idx="5">
                  <c:v>33630</c:v>
                </c:pt>
                <c:pt idx="6">
                  <c:v>22686</c:v>
                </c:pt>
                <c:pt idx="7">
                  <c:v>28086</c:v>
                </c:pt>
                <c:pt idx="8">
                  <c:v>18006</c:v>
                </c:pt>
                <c:pt idx="9">
                  <c:v>52926</c:v>
                </c:pt>
                <c:pt idx="10">
                  <c:v>18928.5</c:v>
                </c:pt>
                <c:pt idx="11">
                  <c:v>29001</c:v>
                </c:pt>
                <c:pt idx="12">
                  <c:v>22710</c:v>
                </c:pt>
                <c:pt idx="13">
                  <c:v>54336</c:v>
                </c:pt>
                <c:pt idx="14">
                  <c:v>24267</c:v>
                </c:pt>
                <c:pt idx="15">
                  <c:v>47118</c:v>
                </c:pt>
              </c:numCache>
            </c:numRef>
          </c:val>
          <c:smooth val="0"/>
          <c:extLst>
            <c:ext xmlns:c16="http://schemas.microsoft.com/office/drawing/2014/chart" uri="{C3380CC4-5D6E-409C-BE32-E72D297353CC}">
              <c16:uniqueId val="{00000004-1463-4BD0-B3E5-0AF618E41792}"/>
            </c:ext>
          </c:extLst>
        </c:ser>
        <c:ser>
          <c:idx val="5"/>
          <c:order val="5"/>
          <c:tx>
            <c:strRef>
              <c:f>'create pivot table for each yea'!$H$5:$H$6</c:f>
              <c:strCache>
                <c:ptCount val="1"/>
                <c:pt idx="0">
                  <c:v>White Chocolate Macadamia Nut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'create pivot table for each yea'!$B$7:$B$25</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2019</c:v>
                  </c:pt>
                  <c:pt idx="4">
                    <c:v>2020</c:v>
                  </c:pt>
                </c:lvl>
              </c:multiLvlStrCache>
            </c:multiLvlStrRef>
          </c:cat>
          <c:val>
            <c:numRef>
              <c:f>'create pivot table for each yea'!$H$7:$H$25</c:f>
              <c:numCache>
                <c:formatCode>General</c:formatCode>
                <c:ptCount val="16"/>
                <c:pt idx="0">
                  <c:v>45012</c:v>
                </c:pt>
                <c:pt idx="1">
                  <c:v>83016</c:v>
                </c:pt>
                <c:pt idx="2">
                  <c:v>61158</c:v>
                </c:pt>
                <c:pt idx="3">
                  <c:v>47640</c:v>
                </c:pt>
                <c:pt idx="4">
                  <c:v>59829</c:v>
                </c:pt>
                <c:pt idx="5">
                  <c:v>47358</c:v>
                </c:pt>
                <c:pt idx="6">
                  <c:v>40146</c:v>
                </c:pt>
                <c:pt idx="7">
                  <c:v>68751</c:v>
                </c:pt>
                <c:pt idx="8">
                  <c:v>42090</c:v>
                </c:pt>
                <c:pt idx="9">
                  <c:v>101718</c:v>
                </c:pt>
                <c:pt idx="10">
                  <c:v>67521</c:v>
                </c:pt>
                <c:pt idx="11">
                  <c:v>58590</c:v>
                </c:pt>
                <c:pt idx="12">
                  <c:v>42138</c:v>
                </c:pt>
                <c:pt idx="13">
                  <c:v>94494</c:v>
                </c:pt>
                <c:pt idx="14">
                  <c:v>41952</c:v>
                </c:pt>
                <c:pt idx="15">
                  <c:v>73134</c:v>
                </c:pt>
              </c:numCache>
            </c:numRef>
          </c:val>
          <c:smooth val="0"/>
          <c:extLst>
            <c:ext xmlns:c16="http://schemas.microsoft.com/office/drawing/2014/chart" uri="{C3380CC4-5D6E-409C-BE32-E72D297353CC}">
              <c16:uniqueId val="{00000005-1463-4BD0-B3E5-0AF618E41792}"/>
            </c:ext>
          </c:extLst>
        </c:ser>
        <c:dLbls>
          <c:showLegendKey val="0"/>
          <c:showVal val="0"/>
          <c:showCatName val="0"/>
          <c:showSerName val="0"/>
          <c:showPercent val="0"/>
          <c:showBubbleSize val="0"/>
        </c:dLbls>
        <c:marker val="1"/>
        <c:smooth val="0"/>
        <c:axId val="1069164735"/>
        <c:axId val="1069152735"/>
      </c:lineChart>
      <c:catAx>
        <c:axId val="106916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52735"/>
        <c:crosses val="autoZero"/>
        <c:auto val="1"/>
        <c:lblAlgn val="ctr"/>
        <c:lblOffset val="100"/>
        <c:noMultiLvlLbl val="0"/>
      </c:catAx>
      <c:valAx>
        <c:axId val="106915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6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31750</xdr:rowOff>
    </xdr:from>
    <xdr:to>
      <xdr:col>5</xdr:col>
      <xdr:colOff>292100</xdr:colOff>
      <xdr:row>28</xdr:row>
      <xdr:rowOff>12700</xdr:rowOff>
    </xdr:to>
    <xdr:graphicFrame macro="">
      <xdr:nvGraphicFramePr>
        <xdr:cNvPr id="2" name="Chart 1">
          <a:extLst>
            <a:ext uri="{FF2B5EF4-FFF2-40B4-BE49-F238E27FC236}">
              <a16:creationId xmlns:a16="http://schemas.microsoft.com/office/drawing/2014/main" id="{4B1970C6-4DA1-2C5D-A042-744AAEECD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931333</xdr:colOff>
      <xdr:row>27</xdr:row>
      <xdr:rowOff>67734</xdr:rowOff>
    </xdr:from>
    <xdr:to>
      <xdr:col>7</xdr:col>
      <xdr:colOff>1767417</xdr:colOff>
      <xdr:row>42</xdr:row>
      <xdr:rowOff>112184</xdr:rowOff>
    </xdr:to>
    <xdr:graphicFrame macro="">
      <xdr:nvGraphicFramePr>
        <xdr:cNvPr id="2" name="Chart 1">
          <a:extLst>
            <a:ext uri="{FF2B5EF4-FFF2-40B4-BE49-F238E27FC236}">
              <a16:creationId xmlns:a16="http://schemas.microsoft.com/office/drawing/2014/main" id="{603CE059-4544-717B-5CA9-A9737DDF8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xdr:colOff>
      <xdr:row>18</xdr:row>
      <xdr:rowOff>19051</xdr:rowOff>
    </xdr:from>
    <xdr:to>
      <xdr:col>2</xdr:col>
      <xdr:colOff>838200</xdr:colOff>
      <xdr:row>27</xdr:row>
      <xdr:rowOff>82551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5C490DA4-FCDC-23D9-4732-E3A02E9957E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22300" y="3333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596900</xdr:colOff>
      <xdr:row>28</xdr:row>
      <xdr:rowOff>69851</xdr:rowOff>
    </xdr:from>
    <xdr:to>
      <xdr:col>2</xdr:col>
      <xdr:colOff>812800</xdr:colOff>
      <xdr:row>39</xdr:row>
      <xdr:rowOff>38101</xdr:rowOff>
    </xdr:to>
    <mc:AlternateContent xmlns:mc="http://schemas.openxmlformats.org/markup-compatibility/2006">
      <mc:Choice xmlns:a14="http://schemas.microsoft.com/office/drawing/2010/main" Requires="a14">
        <xdr:graphicFrame macro="">
          <xdr:nvGraphicFramePr>
            <xdr:cNvPr id="3" name="Cookie Type">
              <a:extLst>
                <a:ext uri="{FF2B5EF4-FFF2-40B4-BE49-F238E27FC236}">
                  <a16:creationId xmlns:a16="http://schemas.microsoft.com/office/drawing/2014/main" id="{92D2D8CE-CE56-0D8F-7B6C-7F53A94055FE}"/>
                </a:ext>
              </a:extLst>
            </xdr:cNvPr>
            <xdr:cNvGraphicFramePr/>
          </xdr:nvGraphicFramePr>
          <xdr:xfrm>
            <a:off x="0" y="0"/>
            <a:ext cx="0" cy="0"/>
          </xdr:xfrm>
          <a:graphic>
            <a:graphicData uri="http://schemas.microsoft.com/office/drawing/2010/slicer">
              <sle:slicer xmlns:sle="http://schemas.microsoft.com/office/drawing/2010/slicer" name="Cookie Type"/>
            </a:graphicData>
          </a:graphic>
        </xdr:graphicFrame>
      </mc:Choice>
      <mc:Fallback>
        <xdr:sp macro="" textlink="">
          <xdr:nvSpPr>
            <xdr:cNvPr id="0" name=""/>
            <xdr:cNvSpPr>
              <a:spLocks noTextEdit="1"/>
            </xdr:cNvSpPr>
          </xdr:nvSpPr>
          <xdr:spPr>
            <a:xfrm>
              <a:off x="596900" y="5226051"/>
              <a:ext cx="1828800"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2798032406" createdVersion="5" refreshedVersion="8" minRefreshableVersion="3" recordCount="0" supportSubquery="1" supportAdvancedDrill="1" xr:uid="{66B4D941-36B7-4712-938B-5D7D59DCC134}">
  <cacheSource type="external" connectionId="2"/>
  <cacheFields count="2">
    <cacheField name="[Measures].[Count of Order ID]" caption="Count of Order ID" numFmtId="0" hierarchy="32" level="32767"/>
    <cacheField name="[Customer].[Name].[Name]" caption="Name" numFmtId="0" hierarchy="5" level="1">
      <sharedItems count="5">
        <s v="ABC Groceries"/>
        <s v="ACME Bites"/>
        <s v="Park &amp; Shop Convenience Stores"/>
        <s v="Tres Delicious"/>
        <s v="Wholesome Foods"/>
      </sharedItems>
    </cacheField>
  </cacheFields>
  <cacheHierarchies count="39">
    <cacheHierarchy uniqueName="[Cookies types].[Cookie Type]" caption="Cookie Type" attribute="1" defaultMemberUniqueName="[Cookies types].[Cookie Type].[All]" allUniqueName="[Cookies types].[Cookie Type].[All]" dimensionUniqueName="[Cookies types]" displayFolder="" count="0" memberValueDatatype="130" unbalanced="0"/>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9917476853" createdVersion="5" refreshedVersion="8" minRefreshableVersion="3" recordCount="0" supportSubquery="1" supportAdvancedDrill="1" xr:uid="{8AAA2C1D-0563-422A-988C-AD8C9EB5ABE8}">
  <cacheSource type="external" connectionId="2"/>
  <cacheFields count="3">
    <cacheField name="[Customer].[City].[City]" caption="City" numFmtId="0" hierarchy="8" level="1">
      <sharedItems count="5">
        <s v="Green Bay"/>
        <s v="Huntington"/>
        <s v="Mobile"/>
        <s v="Salt Lake City"/>
        <s v="Seattle"/>
      </sharedItems>
    </cacheField>
    <cacheField name="[Cookies types].[Cookie Type].[Cookie Type]" caption="Cookie Type" numFmtId="0" level="1">
      <sharedItems count="6">
        <s v="Chocolate Chip"/>
        <s v="Fortune Cookie"/>
        <s v="Oatmeal Raisin"/>
        <s v="Snickerdoodle"/>
        <s v="Sugar"/>
        <s v="White Chocolate Macadamia Nut"/>
      </sharedItems>
    </cacheField>
    <cacheField name="[Measures].[Sum of Profit]" caption="Sum of Profit" numFmtId="0" hierarchy="33"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1"/>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5104513888" createdVersion="5" refreshedVersion="8" minRefreshableVersion="3" recordCount="0" supportSubquery="1" supportAdvancedDrill="1" xr:uid="{E5A2AC3F-A761-4928-8ADE-A90497F95D75}">
  <cacheSource type="external" connectionId="2"/>
  <cacheFields count="4">
    <cacheField name="[Orders].[Date (Year)].[Date (Year)]" caption="Date (Year)" numFmtId="0" hierarchy="21" level="1">
      <sharedItems count="2">
        <s v="2019"/>
        <s v="2020"/>
      </sharedItems>
    </cacheField>
    <cacheField name="[Orders].[Date (Month)].[Date (Month)]" caption="Date (Month)" numFmtId="0" hierarchy="23" level="1">
      <sharedItems count="12">
        <s v="Sep"/>
        <s v="Oct"/>
        <s v="Nov"/>
        <s v="Dec"/>
        <s v="Jan"/>
        <s v="Feb"/>
        <s v="Mar"/>
        <s v="Apr"/>
        <s v="May"/>
        <s v="Jun"/>
        <s v="Jul"/>
        <s v="Aug"/>
      </sharedItems>
    </cacheField>
    <cacheField name="[Cookies types].[Cookie Type].[Cookie Type]" caption="Cookie Type" numFmtId="0" level="1">
      <sharedItems count="6">
        <s v="Chocolate Chip"/>
        <s v="Fortune Cookie"/>
        <s v="Oatmeal Raisin"/>
        <s v="Snickerdoodle"/>
        <s v="Sugar"/>
        <s v="White Chocolate Macadamia Nut"/>
      </sharedItems>
    </cacheField>
    <cacheField name="[Measures].[Sum of Revenue]" caption="Sum of Revenue" numFmtId="0" hierarchy="34"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2"/>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0"/>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2796874998" createdVersion="5" refreshedVersion="8" minRefreshableVersion="3" recordCount="0" supportSubquery="1" supportAdvancedDrill="1" xr:uid="{CF1E104D-A57E-44D1-B44B-35C81534E30A}">
  <cacheSource type="external" connectionId="2"/>
  <cacheFields count="4">
    <cacheField name="[Cookies types].[Cookie Type].[Cookie Type]" caption="Cookie Type" numFmtId="0" level="1">
      <sharedItems count="6">
        <s v="Chocolate Chip"/>
        <s v="Fortune Cookie"/>
        <s v="Oatmeal Raisin"/>
        <s v="Snickerdoodle"/>
        <s v="Sugar"/>
        <s v="White Chocolate Macadamia Nut"/>
      </sharedItems>
    </cacheField>
    <cacheField name="[Measures].[Sum of Profit]" caption="Sum of Profit" numFmtId="0" hierarchy="33" level="32767"/>
    <cacheField name="[Measures].[Count of Units Sold]" caption="Count of Units Sold" numFmtId="0" hierarchy="36" level="32767"/>
    <cacheField name="[Measures].[Sum of Revenue]" caption="Sum of Revenue" numFmtId="0" hierarchy="34"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0"/>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5104513888" createdVersion="5" refreshedVersion="8" minRefreshableVersion="3" recordCount="0" supportSubquery="1" supportAdvancedDrill="1" xr:uid="{86C2F2A8-A8D8-4A46-9B64-1471D4AE25F6}">
  <cacheSource type="external" connectionId="2"/>
  <cacheFields count="4">
    <cacheField name="[Orders].[Date (Year)].[Date (Year)]" caption="Date (Year)" numFmtId="0" hierarchy="21" level="1">
      <sharedItems count="2">
        <s v="2019"/>
        <s v="2020"/>
      </sharedItems>
    </cacheField>
    <cacheField name="[Orders].[Date (Month)].[Date (Month)]" caption="Date (Month)" numFmtId="0" hierarchy="23" level="1">
      <sharedItems count="12">
        <s v="Sep"/>
        <s v="Oct"/>
        <s v="Nov"/>
        <s v="Dec"/>
        <s v="Jan"/>
        <s v="Feb"/>
        <s v="Mar"/>
        <s v="Apr"/>
        <s v="May"/>
        <s v="Jun"/>
        <s v="Jul"/>
        <s v="Aug"/>
      </sharedItems>
    </cacheField>
    <cacheField name="[Cookies types].[Cookie Type].[Cookie Type]" caption="Cookie Type" numFmtId="0" level="1">
      <sharedItems count="6">
        <s v="Chocolate Chip"/>
        <s v="Fortune Cookie"/>
        <s v="Oatmeal Raisin"/>
        <s v="Snickerdoodle"/>
        <s v="Sugar"/>
        <s v="White Chocolate Macadamia Nut"/>
      </sharedItems>
    </cacheField>
    <cacheField name="[Measures].[Sum of Revenue]" caption="Sum of Revenue" numFmtId="0" hierarchy="34"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2"/>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0"/>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81.478628935183" createdVersion="5" refreshedVersion="8" minRefreshableVersion="3" recordCount="0" supportSubquery="1" supportAdvancedDrill="1" xr:uid="{113A565A-E174-4F0F-8C78-933236049C03}">
  <cacheSource type="external" connectionId="2"/>
  <cacheFields count="3">
    <cacheField name="[Cookies types].[Cookie Type].[Cookie Type]" caption="Cookie Type" numFmtId="0" level="1">
      <sharedItems count="6">
        <s v="Chocolate Chip"/>
        <s v="Fortune Cookie"/>
        <s v="Oatmeal Raisin"/>
        <s v="Snickerdoodle"/>
        <s v="Sugar"/>
        <s v="White Chocolate Macadamia Nut"/>
      </sharedItems>
    </cacheField>
    <cacheField name="[Measures].[Sum of Profit]" caption="Sum of Profit" numFmtId="0" hierarchy="33" level="32767"/>
    <cacheField name="[Measures].[Sum of Revenue]" caption="Sum of Revenue" numFmtId="0" hierarchy="34"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0"/>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77.492798032406" createdVersion="5" refreshedVersion="8" minRefreshableVersion="3" recordCount="0" supportSubquery="1" supportAdvancedDrill="1" xr:uid="{FE24FC7B-2D4B-4AD4-8D10-CECA320CC5A8}">
  <cacheSource type="external" connectionId="2"/>
  <cacheFields count="2">
    <cacheField name="[Measures].[Count of Order ID]" caption="Count of Order ID" numFmtId="0" hierarchy="32" level="32767"/>
    <cacheField name="[Customer].[Name].[Name]" caption="Name" numFmtId="0" hierarchy="5" level="1">
      <sharedItems count="5">
        <s v="ABC Groceries"/>
        <s v="ACME Bites"/>
        <s v="Park &amp; Shop Convenience Stores"/>
        <s v="Tres Delicious"/>
        <s v="Wholesome Foods"/>
      </sharedItems>
    </cacheField>
  </cacheFields>
  <cacheHierarchies count="39">
    <cacheHierarchy uniqueName="[Cookies types].[Cookie Type]" caption="Cookie Type" attribute="1" defaultMemberUniqueName="[Cookies types].[Cookie Type].[All]" allUniqueName="[Cookies types].[Cookie Type].[All]" dimensionUniqueName="[Cookies types]" displayFolder="" count="0" memberValueDatatype="130" unbalanced="0"/>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81.492897222219" createdVersion="5" refreshedVersion="8" minRefreshableVersion="3" recordCount="0" supportSubquery="1" supportAdvancedDrill="1" xr:uid="{3F5275D0-8366-43C9-8166-2EC4AB0776F5}">
  <cacheSource type="external" connectionId="2"/>
  <cacheFields count="3">
    <cacheField name="[Customer].[City].[City]" caption="City" numFmtId="0" hierarchy="8" level="1">
      <sharedItems count="5">
        <s v="Green Bay"/>
        <s v="Huntington"/>
        <s v="Mobile"/>
        <s v="Salt Lake City"/>
        <s v="Seattle"/>
      </sharedItems>
    </cacheField>
    <cacheField name="[Cookies types].[Cookie Type].[Cookie Type]" caption="Cookie Type" numFmtId="0" level="1">
      <sharedItems count="6">
        <s v="Chocolate Chip"/>
        <s v="Fortune Cookie"/>
        <s v="Oatmeal Raisin"/>
        <s v="Snickerdoodle"/>
        <s v="Sugar"/>
        <s v="White Chocolate Macadamia Nut"/>
      </sharedItems>
    </cacheField>
    <cacheField name="[Measures].[Sum of Cost]" caption="Sum of Cost" numFmtId="0" hierarchy="38"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1"/>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81.492897222219" createdVersion="5" refreshedVersion="8" minRefreshableVersion="3" recordCount="0" supportSubquery="1" supportAdvancedDrill="1" xr:uid="{E49F15A6-83A1-4335-B949-01E5E19834CB}">
  <cacheSource type="external" connectionId="2"/>
  <cacheFields count="3">
    <cacheField name="[Customer].[City].[City]" caption="City" numFmtId="0" hierarchy="8" level="1">
      <sharedItems count="5">
        <s v="Green Bay"/>
        <s v="Huntington"/>
        <s v="Mobile"/>
        <s v="Salt Lake City"/>
        <s v="Seattle"/>
      </sharedItems>
    </cacheField>
    <cacheField name="[Cookies types].[Cookie Type].[Cookie Type]" caption="Cookie Type" numFmtId="0" level="1">
      <sharedItems count="6">
        <s v="Chocolate Chip"/>
        <s v="Fortune Cookie"/>
        <s v="Oatmeal Raisin"/>
        <s v="Snickerdoodle"/>
        <s v="Sugar"/>
        <s v="White Chocolate Macadamia Nut"/>
      </sharedItems>
    </cacheField>
    <cacheField name="[Measures].[Sum of Cost]" caption="Sum of Cost" numFmtId="0" hierarchy="38"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fieldsUsage count="2">
        <fieldUsage x="-1"/>
        <fieldUsage x="1"/>
      </fieldsUsage>
    </cacheHierarchy>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81.501319675925" createdVersion="5" refreshedVersion="8" minRefreshableVersion="3" recordCount="0" supportSubquery="1" supportAdvancedDrill="1" xr:uid="{FB3C96B4-54E1-44F9-954C-74FE2121E67B}">
  <cacheSource type="external" connectionId="2"/>
  <cacheFields count="3">
    <cacheField name="[Measures].[Sum of Revenue]" caption="Sum of Revenue" numFmtId="0" hierarchy="34" level="32767"/>
    <cacheField name="[Measures].[Sum of Profit]" caption="Sum of Profit" numFmtId="0" hierarchy="33" level="32767"/>
    <cacheField name="[Measures].[Count of Order ID]" caption="Count of Order ID" numFmtId="0" hierarchy="32" level="32767"/>
  </cacheFields>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cacheHierarchy uniqueName="[Cookies types].[Units Sold]" caption="Units Sold" attribute="1" defaultMemberUniqueName="[Cookies types].[Units Sold].[All]" allUniqueName="[Cookies types].[Units Sold].[All]" dimensionUniqueName="[Cookies types]" displayFolder="" count="2"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2" memberValueDatatype="5" unbalanced="0"/>
    <cacheHierarchy uniqueName="[Cookies types].[Cost Per Cookie]" caption="Cost Per Cookie" attribute="1" defaultMemberUniqueName="[Cookies types].[Cost Per Cookie].[All]" allUniqueName="[Cookies types].[Cost Per Cookie].[All]" dimensionUniqueName="[Cookies types]" displayFolder="" count="2" memberValueDatatype="5" unbalanced="0"/>
    <cacheHierarchy uniqueName="[Customer].[Customer ID]" caption="Customer ID" attribute="1" defaultMemberUniqueName="[Customer].[Customer ID].[All]" allUniqueName="[Customer].[Customer ID].[All]" dimensionUniqueName="[Customer]" displayFolder="" count="2" memberValueDatatype="5" unbalanced="0"/>
    <cacheHierarchy uniqueName="[Customer].[Name]" caption="Name" attribute="1" defaultMemberUniqueName="[Customer].[Name].[All]" allUniqueName="[Customer].[Name].[All]" dimensionUniqueName="[Customer]" displayFolder="" count="2" memberValueDatatype="130" unbalanced="0"/>
    <cacheHierarchy uniqueName="[Customer].[Phone]" caption="Phone" attribute="1" defaultMemberUniqueName="[Customer].[Phone].[All]" allUniqueName="[Customer].[Phone].[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Zip]" caption="Zip" attribute="1" defaultMemberUniqueName="[Customer].[Zip].[All]" allUniqueName="[Customer].[Zip].[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Notes]" caption="Notes" attribute="1" defaultMemberUniqueName="[Customer].[Notes].[All]" allUniqueName="[Customer].[Notes].[All]" dimensionUniqueName="[Customer]" displayFolder="" count="2" memberValueDatatype="130" unbalanced="0"/>
    <cacheHierarchy uniqueName="[Orders].[Customer ID]" caption="Customer ID" attribute="1" defaultMemberUniqueName="[Orders].[Customer ID].[All]" allUniqueName="[Orders].[Customer ID].[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Product]" caption="Product" attribute="1" defaultMemberUniqueName="[Orders].[Product].[All]" allUniqueName="[Orders].[Product].[All]" dimensionUniqueName="[Orders]" displayFolder="" count="2" memberValueDatatype="130" unbalanced="0"/>
    <cacheHierarchy uniqueName="[Orders].[Units Sold]" caption="Units Sold" attribute="1" defaultMemberUniqueName="[Orders].[Units Sold].[All]" allUniqueName="[Orders].[Units Sold].[All]" dimensionUniqueName="[Orders]" displayFolder="" count="2" memberValueDatatype="5" unbalanced="0"/>
    <cacheHierarchy uniqueName="[Orders].[Date]" caption="Date" attribute="1" time="1" defaultMemberUniqueName="[Orders].[Date].[All]" allUniqueName="[Orders].[Date].[All]" dimensionUniqueName="[Orders]" displayFolder="" count="2" memberValueDatatype="7" unbalanced="0"/>
    <cacheHierarchy uniqueName="[Orders].[Revenue]" caption="Revenue" attribute="1" defaultMemberUniqueName="[Orders].[Revenue].[All]" allUniqueName="[Orders].[Revenue].[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ate (Year)]" caption="Date (Year)" attribute="1" defaultMemberUniqueName="[Orders].[Date (Year)].[All]" allUniqueName="[Orders].[Date (Year)].[All]" dimensionUniqueName="[Orders]" displayFolder="" count="2" memberValueDatatype="130" unbalanced="0"/>
    <cacheHierarchy uniqueName="[Orders].[Date (Quarter)]" caption="Date (Quarter)" attribute="1" defaultMemberUniqueName="[Orders].[Date (Quarter)].[All]" allUniqueName="[Orders].[Date (Quarter)].[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ookies types" uniqueName="[Cookies types]" caption="Cookies types"/>
    <dimension name="Customer" uniqueName="[Customer]" caption="Customer"/>
    <dimension measure="1" name="Measures" uniqueName="[Measures]" caption="Measures"/>
    <dimension name="Orders" uniqueName="[Orders]" caption="Orders"/>
  </dimensions>
  <measureGroups count="3">
    <measureGroup name="Cookies types" caption="Cookies types"/>
    <measureGroup name="Customer" caption="Customer"/>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esh.T" refreshedDate="46181.50131446759" createdVersion="3" refreshedVersion="8" minRefreshableVersion="3" recordCount="0" supportSubquery="1" supportAdvancedDrill="1" xr:uid="{5D815ECC-305C-4C9E-81BD-C8B92ACEAF30}">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Cookies types].[Cookie Type]" caption="Cookie Type" attribute="1" defaultMemberUniqueName="[Cookies types].[Cookie Type].[All]" allUniqueName="[Cookies types].[Cookie Type].[All]" dimensionUniqueName="[Cookies types]" displayFolder="" count="2" memberValueDatatype="130" unbalanced="0"/>
    <cacheHierarchy uniqueName="[Cookies types].[Units Sold]" caption="Units Sold" attribute="1" defaultMemberUniqueName="[Cookies types].[Units Sold].[All]" allUniqueName="[Cookies types].[Units Sold].[All]" dimensionUniqueName="[Cookies types]" displayFolder="" count="0" memberValueDatatype="5" unbalanced="0"/>
    <cacheHierarchy uniqueName="[Cookies types].[Revenue Per Cookie]" caption="Revenue Per Cookie" attribute="1" defaultMemberUniqueName="[Cookies types].[Revenue Per Cookie].[All]" allUniqueName="[Cookies types].[Revenue Per Cookie].[All]" dimensionUniqueName="[Cookies types]" displayFolder="" count="0" memberValueDatatype="5" unbalanced="0"/>
    <cacheHierarchy uniqueName="[Cookies types].[Cost Per Cookie]" caption="Cost Per Cookie" attribute="1" defaultMemberUniqueName="[Cookies types].[Cost Per Cookie].[All]" allUniqueName="[Cookies types].[Cost Per Cookie].[All]" dimensionUniqueName="[Cookies types]" displayFolder="" count="0" memberValueDatatype="5" unbalanced="0"/>
    <cacheHierarchy uniqueName="[Customer].[Customer ID]" caption="Customer ID" attribute="1" defaultMemberUniqueName="[Customer].[Customer ID].[All]" allUniqueName="[Customer].[Customer ID].[All]" dimensionUniqueName="[Customer]" displayFolder="" count="0" memberValueDatatype="5" unbalanced="0"/>
    <cacheHierarchy uniqueName="[Customer].[Name]" caption="Name" attribute="1" defaultMemberUniqueName="[Customer].[Name].[All]" allUniqueName="[Customer].[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 caption="Zip" attribute="1" defaultMemberUniqueName="[Customer].[Zip].[All]" allUniqueName="[Customer].[Zip].[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Notes]" caption="Notes" attribute="1" defaultMemberUniqueName="[Customer].[Notes].[All]" allUniqueName="[Customer].[Notes].[All]" dimensionUniqueName="[Customer]"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te (Year)]" caption="Date (Year)" attribute="1" defaultMemberUniqueName="[Orders].[Date (Year)].[All]" allUniqueName="[Orders].[Date (Year)].[All]" dimensionUniqueName="[Orders]" displayFolder="" count="0"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Cookies types]" caption="__XL_Count Cookies types" measure="1" displayFolder="" measureGroup="Cookies type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Units Sold]" caption="Sum of Units Sold" measure="1" displayFolder="" measureGroup="Cookies types" count="0" hidden="1">
      <extLst>
        <ext xmlns:x15="http://schemas.microsoft.com/office/spreadsheetml/2010/11/main" uri="{B97F6D7D-B522-45F9-BDA1-12C45D357490}">
          <x15:cacheHierarchy aggregatedColumn="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Units Sold 2]" caption="Sum of Units Sold 2" measure="1" displayFolder="" measureGroup="Orders" count="0" hidden="1">
      <extLst>
        <ext xmlns:x15="http://schemas.microsoft.com/office/spreadsheetml/2010/11/main" uri="{B97F6D7D-B522-45F9-BDA1-12C45D357490}">
          <x15:cacheHierarchy aggregatedColumn="16"/>
        </ext>
      </extLst>
    </cacheHierarchy>
    <cacheHierarchy uniqueName="[Measures].[Count of Units Sold]" caption="Count of Units Sold" measure="1" displayFolder="" measureGroup="Orders" count="0" hidden="1">
      <extLst>
        <ext xmlns:x15="http://schemas.microsoft.com/office/spreadsheetml/2010/11/main" uri="{B97F6D7D-B522-45F9-BDA1-12C45D357490}">
          <x15:cacheHierarchy aggregatedColumn="1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Cost]" caption="Sum of Cos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942512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C55E9-31B1-43DC-8E39-EDA27D07C99E}" name="PivotTable2" cacheId="3" applyNumberFormats="0" applyBorderFormats="0" applyFontFormats="0" applyPatternFormats="0" applyAlignmentFormats="0" applyWidthHeightFormats="1" dataCaption="Values" tag="6fe7d43b-4ef0-4e00-a12f-7bb0f8fcbd1d" updatedVersion="8" minRefreshableVersion="3" useAutoFormatting="1" subtotalHiddenItems="1" itemPrintTitles="1" createdVersion="5" indent="0" outline="1" outlineData="1" multipleFieldFilters="0">
  <location ref="B15:E22"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Count of Units Sold" fld="2" subtotal="count" baseField="0" baseItem="0"/>
    <dataField name="Sum of Revenue" fld="3" baseField="0" baseItem="0" numFmtId="2"/>
    <dataField name="Sum of Profit" fld="1" baseField="0" baseItem="0" numFmtId="2"/>
  </dataFields>
  <formats count="1">
    <format dxfId="2">
      <pivotArea outline="0" collapsedLevelsAreSubtotals="1" fieldPosition="0">
        <references count="1">
          <reference field="4294967294" count="2" selected="0">
            <x v="1"/>
            <x v="2"/>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caption="Count of Units Sold"/>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F95D4-A9E7-4E36-8867-4188D43E686E}" name="PivotTable5" cacheId="7" applyNumberFormats="0" applyBorderFormats="0" applyFontFormats="0" applyPatternFormats="0" applyAlignmentFormats="0" applyWidthHeightFormats="1" dataCaption="Values" tag="defb6bc3-b59a-40e2-b2dc-a735f6181283" updatedVersion="8" minRefreshableVersion="3" useAutoFormatting="1" subtotalHiddenItems="1" itemPrintTitles="1" createdVersion="5" indent="0" outline="1" outlineData="1" multipleFieldFilters="0">
  <location ref="B63:H71"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Sum of Cost" fld="2" baseField="0" baseItem="0"/>
  </dataFields>
  <formats count="1">
    <format dxfId="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caption="Count of Revenue"/>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D4019-28D6-40B6-B2AF-314066C09549}" name="PivotTable1" cacheId="0" applyNumberFormats="0" applyBorderFormats="0" applyFontFormats="0" applyPatternFormats="0" applyAlignmentFormats="0" applyWidthHeightFormats="1" dataCaption="Values" tag="defb6bc3-b59a-40e2-b2dc-a735f6181283" updatedVersion="8" minRefreshableVersion="3" useAutoFormatting="1" subtotalHiddenItems="1" itemPrintTitles="1" createdVersion="5" indent="0" outline="1" outlineData="1" multipleFieldFilters="0">
  <location ref="B3:C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Order 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7BD76D-6169-4B24-AD25-A95AFB515130}" name="PivotTable4" cacheId="1" applyNumberFormats="0" applyBorderFormats="0" applyFontFormats="0" applyPatternFormats="0" applyAlignmentFormats="0" applyWidthHeightFormats="1" dataCaption="Values" tag="42be968b-f0c4-45c6-bc43-a232ab459480" updatedVersion="8" minRefreshableVersion="3" useAutoFormatting="1" subtotalHiddenItems="1" itemPrintTitles="1" createdVersion="5" indent="0" outline="1" outlineData="1" multipleFieldFilters="0">
  <location ref="B51:I58"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2" baseField="0" baseItem="0"/>
  </dataFields>
  <formats count="1">
    <format dxfId="4">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B63730-4585-43F5-9113-8C8CC4A7E6EB}" name="PivotTable3" cacheId="2" applyNumberFormats="0" applyBorderFormats="0" applyFontFormats="0" applyPatternFormats="0" applyAlignmentFormats="0" applyWidthHeightFormats="1" dataCaption="Values" tag="289991ca-9ba5-4795-a80c-7beb7c36cca3" updatedVersion="8" minRefreshableVersion="3" useAutoFormatting="1" subtotalHiddenItems="1" itemPrintTitles="1" createdVersion="5" indent="0" outline="1" outlineData="1" multipleFieldFilters="0">
  <location ref="B27:I47"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r="1">
      <x v="10"/>
    </i>
    <i r="1">
      <x v="11"/>
    </i>
    <i r="1">
      <x/>
    </i>
    <i r="1">
      <x v="1"/>
    </i>
    <i r="1">
      <x v="2"/>
    </i>
    <i r="1">
      <x v="3"/>
    </i>
    <i t="grand">
      <x/>
    </i>
  </rowItems>
  <colFields count="1">
    <field x="2"/>
  </colFields>
  <colItems count="7">
    <i>
      <x/>
    </i>
    <i>
      <x v="1"/>
    </i>
    <i>
      <x v="2"/>
    </i>
    <i>
      <x v="3"/>
    </i>
    <i>
      <x v="4"/>
    </i>
    <i>
      <x v="5"/>
    </i>
    <i t="grand">
      <x/>
    </i>
  </colItems>
  <dataFields count="1">
    <dataField name="Sum of Revenue" fld="3"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D86F06-E478-441A-9033-07AF4144DFA5}" name="PivotTable1" cacheId="6" applyNumberFormats="0" applyBorderFormats="0" applyFontFormats="0" applyPatternFormats="0" applyAlignmentFormats="0" applyWidthHeightFormats="1" dataCaption="Values" tag="defb6bc3-b59a-40e2-b2dc-a735f6181283" updatedVersion="8" minRefreshableVersion="3" useAutoFormatting="1" subtotalHiddenItems="1" itemPrintTitles="1" createdVersion="5" indent="0" outline="1" outlineData="1" multipleFieldFilters="0" chartFormat="3">
  <location ref="B5:C11"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9425B2-FCA2-4618-A1DD-08D4F11C2A4C}" name="PivotTable2" cacheId="5" applyNumberFormats="0" applyBorderFormats="0" applyFontFormats="0" applyPatternFormats="0" applyAlignmentFormats="0" applyWidthHeightFormats="1" dataCaption="Values" tag="6fe7d43b-4ef0-4e00-a12f-7bb0f8fcbd1d" updatedVersion="8" minRefreshableVersion="3" useAutoFormatting="1" subtotalHiddenItems="1" itemPrintTitles="1" createdVersion="5" indent="0" outline="1" outlineData="1" multipleFieldFilters="0">
  <location ref="B5:D12"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Revenue" fld="2" baseField="0" baseItem="0" numFmtId="2"/>
    <dataField name="Sum of Profit" fld="1" baseField="0" baseItem="0" numFmtId="2"/>
  </dataFields>
  <formats count="1">
    <format dxfId="0">
      <pivotArea outline="0" collapsedLevelsAreSubtotals="1" fieldPosition="0">
        <references count="1">
          <reference field="4294967294" count="2" selected="0">
            <x v="0"/>
            <x v="1"/>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caption="Count of Units Sold"/>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0ED82-0C66-403A-971D-1C8E567F5BCB}" name="PivotTable3" cacheId="4" applyNumberFormats="0" applyBorderFormats="0" applyFontFormats="0" applyPatternFormats="0" applyAlignmentFormats="0" applyWidthHeightFormats="1" dataCaption="Values" tag="289991ca-9ba5-4795-a80c-7beb7c36cca3" updatedVersion="8" minRefreshableVersion="3" useAutoFormatting="1" subtotalHiddenItems="1" itemPrintTitles="1" createdVersion="5" indent="0" outline="1" outlineData="1" multipleFieldFilters="0" chartFormat="2">
  <location ref="B5:I25"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r="1">
      <x v="10"/>
    </i>
    <i r="1">
      <x v="11"/>
    </i>
    <i r="1">
      <x/>
    </i>
    <i r="1">
      <x v="1"/>
    </i>
    <i r="1">
      <x v="2"/>
    </i>
    <i r="1">
      <x v="3"/>
    </i>
    <i t="grand">
      <x/>
    </i>
  </rowItems>
  <colFields count="1">
    <field x="2"/>
  </colFields>
  <colItems count="7">
    <i>
      <x/>
    </i>
    <i>
      <x v="1"/>
    </i>
    <i>
      <x v="2"/>
    </i>
    <i>
      <x v="3"/>
    </i>
    <i>
      <x v="4"/>
    </i>
    <i>
      <x v="5"/>
    </i>
    <i t="grand">
      <x/>
    </i>
  </colItems>
  <dataFields count="1">
    <dataField name="Sum of Revenue" fld="3"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9347A-128E-4354-903F-2862989AC752}" name="PivotTable6" cacheId="8" applyNumberFormats="0" applyBorderFormats="0" applyFontFormats="0" applyPatternFormats="0" applyAlignmentFormats="0" applyWidthHeightFormats="1" dataCaption="Values" tag="defb6bc3-b59a-40e2-b2dc-a735f6181283" updatedVersion="8" minRefreshableVersion="3" useAutoFormatting="1" subtotalHiddenItems="1" itemPrintTitles="1" createdVersion="5" indent="0" outline="1" outlineData="1" multipleFieldFilters="0">
  <location ref="B3:H11"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name="Sum of Cost" fld="2" baseField="0" baseItem="0"/>
  </dataFields>
  <formats count="1">
    <format dxfId="1">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caption="Count of Revenue"/>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93C20B-1ED6-4ED3-A7DE-C130C6A95FFA}" name="PivotTable7" cacheId="9" applyNumberFormats="0" applyBorderFormats="0" applyFontFormats="0" applyPatternFormats="0" applyAlignmentFormats="0" applyWidthHeightFormats="1" dataCaption="Values" tag="defb6bc3-b59a-40e2-b2dc-a735f6181283" updatedVersion="8" minRefreshableVersion="3" useAutoFormatting="1" subtotalHiddenItems="1" itemPrintTitles="1" createdVersion="5" indent="0" outline="1" outlineData="1" multipleFieldFilters="0">
  <location ref="B16:D17"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numFmtId="164"/>
    <dataField name="Sum of Profit" fld="1" baseField="0" baseItem="0"/>
    <dataField name="Count of Order ID" fld="2" subtotal="count" baseField="0" baseItem="1"/>
  </dataFields>
  <formats count="2">
    <format dxfId="6">
      <pivotArea outline="0" collapsedLevelsAreSubtotals="1" fieldPosition="0"/>
    </format>
    <format dxfId="5">
      <pivotArea outline="0" collapsedLevelsAreSubtotals="1" fieldPosition="0">
        <references count="1">
          <reference field="4294967294" count="1" selected="0">
            <x v="2"/>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caption="Count of Revenu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okies typ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B3FEBBE-AEAB-4B69-B720-F095C42132AE}" sourceName="[Customer].[City]">
  <pivotTables>
    <pivotTable tabId="7" name="PivotTable7"/>
  </pivotTables>
  <data>
    <olap pivotCacheId="1942512705">
      <levels count="2">
        <level uniqueName="[Customer].[City].[(All)]" sourceCaption="(All)" count="0"/>
        <level uniqueName="[Customer].[City].[City]" sourceCaption="City" count="5">
          <ranges>
            <range startItem="0">
              <i n="[Customer].[City].&amp;[Green Bay]" c="Green Bay"/>
              <i n="[Customer].[City].&amp;[Huntington]" c="Huntington"/>
              <i n="[Customer].[City].&amp;[Mobile]" c="Mobile"/>
              <i n="[Customer].[City].&amp;[Salt Lake City]" c="Salt Lake City"/>
              <i n="[Customer].[City].&amp;[Seattle]" c="Seattle"/>
            </range>
          </ranges>
        </level>
      </levels>
      <selections count="1">
        <selection n="[Customer].[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_Type" xr10:uid="{9EF7CD6B-7A38-4367-B722-C30420B10C8F}" sourceName="[Cookies types].[Cookie Type]">
  <data>
    <olap pivotCacheId="1942512705">
      <levels count="2">
        <level uniqueName="[Cookies types].[Cookie Type].[(All)]" sourceCaption="(All)" count="0"/>
        <level uniqueName="[Cookies types].[Cookie Type].[Cookie Type]" sourceCaption="Cookie Type" count="6">
          <ranges>
            <range startItem="0">
              <i n="[Cookies types].[Cookie Type].&amp;[Chocolate Chip]" c="Chocolate Chip"/>
              <i n="[Cookies types].[Cookie Type].&amp;[Fortune Cookie]" c="Fortune Cookie"/>
              <i n="[Cookies types].[Cookie Type].&amp;[Oatmeal Raisin]" c="Oatmeal Raisin"/>
              <i n="[Cookies types].[Cookie Type].&amp;[Snickerdoodle]" c="Snickerdoodle"/>
              <i n="[Cookies types].[Cookie Type].&amp;[Sugar]" c="Sugar"/>
              <i n="[Cookies types].[Cookie Type].&amp;[White Chocolate Macadamia Nut]" c="White Chocolate Macadamia Nut"/>
            </range>
          </ranges>
        </level>
      </levels>
      <selections count="1">
        <selection n="[Cookies types].[Cooki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EB3BCEC-055A-416D-8C37-45454C950E32}" cache="Slicer_City" caption="City" level="1" rowHeight="241300"/>
  <slicer name="Cookie Type" xr10:uid="{A5C2DB7B-F190-460E-92B4-A1580A809DD4}" cache="Slicer_Cookie_Type" caption="Cookie Typ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B5A6-AE97-47CC-BB6B-84537C12999F}">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1FCD-881F-47C9-B826-350DE67A36C1}">
  <dimension ref="B2:I71"/>
  <sheetViews>
    <sheetView tabSelected="1" topLeftCell="A19" zoomScale="80" workbookViewId="0">
      <selection activeCell="B26" sqref="B26"/>
    </sheetView>
  </sheetViews>
  <sheetFormatPr defaultRowHeight="14.5" x14ac:dyDescent="0.35"/>
  <cols>
    <col min="2" max="2" width="29.1796875" bestFit="1" customWidth="1"/>
    <col min="3" max="3" width="16.453125" bestFit="1" customWidth="1"/>
    <col min="4" max="4" width="10.81640625" bestFit="1" customWidth="1"/>
    <col min="5" max="5" width="7.1796875" bestFit="1" customWidth="1"/>
    <col min="6" max="6" width="12.36328125" bestFit="1" customWidth="1"/>
    <col min="7" max="7" width="7.1796875" bestFit="1" customWidth="1"/>
    <col min="8" max="8" width="11" bestFit="1" customWidth="1"/>
    <col min="9" max="9" width="12.36328125" bestFit="1" customWidth="1"/>
    <col min="10" max="10" width="11.36328125" bestFit="1" customWidth="1"/>
    <col min="11" max="11" width="12.36328125" bestFit="1" customWidth="1"/>
    <col min="12" max="12" width="11.36328125" bestFit="1" customWidth="1"/>
    <col min="13" max="13" width="17.26953125" bestFit="1" customWidth="1"/>
    <col min="14" max="14" width="16.26953125" bestFit="1" customWidth="1"/>
    <col min="15" max="15" width="20.08984375" bestFit="1" customWidth="1"/>
    <col min="16" max="16" width="17.26953125" bestFit="1" customWidth="1"/>
    <col min="17" max="17" width="6.54296875" bestFit="1" customWidth="1"/>
    <col min="18" max="18" width="6.36328125" bestFit="1" customWidth="1"/>
    <col min="19" max="19" width="10.7265625" bestFit="1" customWidth="1"/>
  </cols>
  <sheetData>
    <row r="2" spans="2:5" x14ac:dyDescent="0.35">
      <c r="B2" t="s">
        <v>35</v>
      </c>
    </row>
    <row r="3" spans="2:5" x14ac:dyDescent="0.35">
      <c r="B3" s="1" t="s">
        <v>0</v>
      </c>
      <c r="C3" t="s">
        <v>2</v>
      </c>
    </row>
    <row r="4" spans="2:5" x14ac:dyDescent="0.35">
      <c r="B4" s="2" t="s">
        <v>9</v>
      </c>
      <c r="C4">
        <v>132</v>
      </c>
    </row>
    <row r="5" spans="2:5" x14ac:dyDescent="0.35">
      <c r="B5" s="2" t="s">
        <v>10</v>
      </c>
      <c r="C5">
        <v>206</v>
      </c>
    </row>
    <row r="6" spans="2:5" x14ac:dyDescent="0.35">
      <c r="B6" s="2" t="s">
        <v>11</v>
      </c>
      <c r="C6">
        <v>114</v>
      </c>
    </row>
    <row r="7" spans="2:5" x14ac:dyDescent="0.35">
      <c r="B7" s="2" t="s">
        <v>12</v>
      </c>
      <c r="C7">
        <v>92</v>
      </c>
    </row>
    <row r="8" spans="2:5" x14ac:dyDescent="0.35">
      <c r="B8" s="2" t="s">
        <v>13</v>
      </c>
      <c r="C8">
        <v>156</v>
      </c>
    </row>
    <row r="9" spans="2:5" x14ac:dyDescent="0.35">
      <c r="B9" s="2" t="s">
        <v>1</v>
      </c>
      <c r="C9">
        <v>700</v>
      </c>
    </row>
    <row r="14" spans="2:5" x14ac:dyDescent="0.35">
      <c r="B14" t="s">
        <v>17</v>
      </c>
    </row>
    <row r="15" spans="2:5" x14ac:dyDescent="0.35">
      <c r="B15" s="1" t="s">
        <v>0</v>
      </c>
      <c r="C15" t="s">
        <v>16</v>
      </c>
      <c r="D15" t="s">
        <v>15</v>
      </c>
      <c r="E15" t="s">
        <v>14</v>
      </c>
    </row>
    <row r="16" spans="2:5" x14ac:dyDescent="0.35">
      <c r="B16" s="2" t="s">
        <v>3</v>
      </c>
      <c r="C16">
        <v>202</v>
      </c>
      <c r="D16" s="4">
        <v>1691197.5</v>
      </c>
      <c r="E16" s="4">
        <v>1014718.5</v>
      </c>
    </row>
    <row r="17" spans="2:9" x14ac:dyDescent="0.35">
      <c r="B17" s="2" t="s">
        <v>4</v>
      </c>
      <c r="C17">
        <v>93</v>
      </c>
      <c r="D17" s="4">
        <v>154198</v>
      </c>
      <c r="E17" s="4">
        <v>77099</v>
      </c>
    </row>
    <row r="18" spans="2:9" x14ac:dyDescent="0.35">
      <c r="B18" s="2" t="s">
        <v>5</v>
      </c>
      <c r="C18">
        <v>94</v>
      </c>
      <c r="D18" s="4">
        <v>776575</v>
      </c>
      <c r="E18" s="4">
        <v>434882</v>
      </c>
    </row>
    <row r="19" spans="2:9" x14ac:dyDescent="0.35">
      <c r="B19" s="2" t="s">
        <v>6</v>
      </c>
      <c r="C19">
        <v>93</v>
      </c>
      <c r="D19" s="4">
        <v>587384</v>
      </c>
      <c r="E19" s="4">
        <v>367115</v>
      </c>
    </row>
    <row r="20" spans="2:9" x14ac:dyDescent="0.35">
      <c r="B20" s="2" t="s">
        <v>7</v>
      </c>
      <c r="C20">
        <v>109</v>
      </c>
      <c r="D20" s="4">
        <v>506349</v>
      </c>
      <c r="E20" s="4">
        <v>295370.25</v>
      </c>
    </row>
    <row r="21" spans="2:9" x14ac:dyDescent="0.35">
      <c r="B21" s="2" t="s">
        <v>8</v>
      </c>
      <c r="C21">
        <v>109</v>
      </c>
      <c r="D21" s="4">
        <v>974547</v>
      </c>
      <c r="E21" s="4">
        <v>527879.625</v>
      </c>
    </row>
    <row r="22" spans="2:9" x14ac:dyDescent="0.35">
      <c r="B22" s="2" t="s">
        <v>1</v>
      </c>
      <c r="C22">
        <v>700</v>
      </c>
      <c r="D22" s="4">
        <v>4690250.5</v>
      </c>
      <c r="E22" s="4">
        <v>2717064.3750000005</v>
      </c>
    </row>
    <row r="26" spans="2:9" x14ac:dyDescent="0.35">
      <c r="B26" t="s">
        <v>18</v>
      </c>
    </row>
    <row r="27" spans="2:9" x14ac:dyDescent="0.35">
      <c r="B27" s="1" t="s">
        <v>15</v>
      </c>
      <c r="C27" s="1" t="s">
        <v>19</v>
      </c>
    </row>
    <row r="28" spans="2:9" x14ac:dyDescent="0.35">
      <c r="B28" s="1" t="s">
        <v>0</v>
      </c>
      <c r="C28" t="s">
        <v>3</v>
      </c>
      <c r="D28" t="s">
        <v>4</v>
      </c>
      <c r="E28" t="s">
        <v>5</v>
      </c>
      <c r="F28" t="s">
        <v>6</v>
      </c>
      <c r="G28" t="s">
        <v>7</v>
      </c>
      <c r="H28" t="s">
        <v>8</v>
      </c>
      <c r="I28" t="s">
        <v>1</v>
      </c>
    </row>
    <row r="29" spans="2:9" x14ac:dyDescent="0.35">
      <c r="B29" s="2" t="s">
        <v>20</v>
      </c>
    </row>
    <row r="30" spans="2:9" x14ac:dyDescent="0.35">
      <c r="B30" s="3" t="s">
        <v>22</v>
      </c>
      <c r="C30">
        <v>78950</v>
      </c>
      <c r="D30">
        <v>6620</v>
      </c>
      <c r="E30">
        <v>33455</v>
      </c>
      <c r="F30">
        <v>24180</v>
      </c>
      <c r="G30">
        <v>23859</v>
      </c>
      <c r="H30">
        <v>45012</v>
      </c>
      <c r="I30">
        <v>212076</v>
      </c>
    </row>
    <row r="31" spans="2:9" x14ac:dyDescent="0.35">
      <c r="B31" s="3" t="s">
        <v>23</v>
      </c>
      <c r="C31">
        <v>133945</v>
      </c>
      <c r="D31">
        <v>17608</v>
      </c>
      <c r="E31">
        <v>70220</v>
      </c>
      <c r="F31">
        <v>46284</v>
      </c>
      <c r="G31">
        <v>35322</v>
      </c>
      <c r="H31">
        <v>83016</v>
      </c>
      <c r="I31">
        <v>386395</v>
      </c>
    </row>
    <row r="32" spans="2:9" x14ac:dyDescent="0.35">
      <c r="B32" s="3" t="s">
        <v>24</v>
      </c>
      <c r="C32">
        <v>104060</v>
      </c>
      <c r="D32">
        <v>7821</v>
      </c>
      <c r="E32">
        <v>28545</v>
      </c>
      <c r="F32">
        <v>30760</v>
      </c>
      <c r="G32">
        <v>39768</v>
      </c>
      <c r="H32">
        <v>61158</v>
      </c>
      <c r="I32">
        <v>272112</v>
      </c>
    </row>
    <row r="33" spans="2:9" x14ac:dyDescent="0.35">
      <c r="B33" s="3" t="s">
        <v>25</v>
      </c>
      <c r="C33">
        <v>94280</v>
      </c>
      <c r="D33">
        <v>4231</v>
      </c>
      <c r="E33">
        <v>36220</v>
      </c>
      <c r="F33">
        <v>24392</v>
      </c>
      <c r="G33">
        <v>25803</v>
      </c>
      <c r="H33">
        <v>47640</v>
      </c>
      <c r="I33">
        <v>232566</v>
      </c>
    </row>
    <row r="34" spans="2:9" x14ac:dyDescent="0.35">
      <c r="B34" s="2" t="s">
        <v>21</v>
      </c>
    </row>
    <row r="35" spans="2:9" x14ac:dyDescent="0.35">
      <c r="B35" s="3" t="s">
        <v>26</v>
      </c>
      <c r="C35">
        <v>117990</v>
      </c>
      <c r="D35">
        <v>7700.5</v>
      </c>
      <c r="E35">
        <v>50097.5</v>
      </c>
      <c r="F35">
        <v>26314</v>
      </c>
      <c r="G35">
        <v>29902.5</v>
      </c>
      <c r="H35">
        <v>59829</v>
      </c>
      <c r="I35">
        <v>291833.5</v>
      </c>
    </row>
    <row r="36" spans="2:9" x14ac:dyDescent="0.35">
      <c r="B36" s="3" t="s">
        <v>27</v>
      </c>
      <c r="C36">
        <v>73145</v>
      </c>
      <c r="D36">
        <v>5405</v>
      </c>
      <c r="E36">
        <v>42375</v>
      </c>
      <c r="F36">
        <v>30012</v>
      </c>
      <c r="G36">
        <v>33630</v>
      </c>
      <c r="H36">
        <v>47358</v>
      </c>
      <c r="I36">
        <v>231925</v>
      </c>
    </row>
    <row r="37" spans="2:9" x14ac:dyDescent="0.35">
      <c r="B37" s="3" t="s">
        <v>28</v>
      </c>
      <c r="C37">
        <v>83475</v>
      </c>
      <c r="D37">
        <v>8280</v>
      </c>
      <c r="E37">
        <v>38580</v>
      </c>
      <c r="F37">
        <v>25904</v>
      </c>
      <c r="G37">
        <v>22686</v>
      </c>
      <c r="H37">
        <v>40146</v>
      </c>
      <c r="I37">
        <v>219071</v>
      </c>
    </row>
    <row r="38" spans="2:9" x14ac:dyDescent="0.35">
      <c r="B38" s="3" t="s">
        <v>29</v>
      </c>
      <c r="C38">
        <v>118265</v>
      </c>
      <c r="D38">
        <v>10055.5</v>
      </c>
      <c r="E38">
        <v>53835</v>
      </c>
      <c r="F38">
        <v>54362</v>
      </c>
      <c r="G38">
        <v>28086</v>
      </c>
      <c r="H38">
        <v>68751</v>
      </c>
      <c r="I38">
        <v>333354.5</v>
      </c>
    </row>
    <row r="39" spans="2:9" x14ac:dyDescent="0.35">
      <c r="B39" s="3" t="s">
        <v>30</v>
      </c>
      <c r="C39">
        <v>77085</v>
      </c>
      <c r="D39">
        <v>8300</v>
      </c>
      <c r="E39">
        <v>51185</v>
      </c>
      <c r="F39">
        <v>19200</v>
      </c>
      <c r="G39">
        <v>18006</v>
      </c>
      <c r="H39">
        <v>42090</v>
      </c>
      <c r="I39">
        <v>215866</v>
      </c>
    </row>
    <row r="40" spans="2:9" x14ac:dyDescent="0.35">
      <c r="B40" s="3" t="s">
        <v>31</v>
      </c>
      <c r="C40">
        <v>127990</v>
      </c>
      <c r="D40">
        <v>14069</v>
      </c>
      <c r="E40">
        <v>69925</v>
      </c>
      <c r="F40">
        <v>60220</v>
      </c>
      <c r="G40">
        <v>52926</v>
      </c>
      <c r="H40">
        <v>101718</v>
      </c>
      <c r="I40">
        <v>426848</v>
      </c>
    </row>
    <row r="41" spans="2:9" x14ac:dyDescent="0.35">
      <c r="B41" s="3" t="s">
        <v>32</v>
      </c>
      <c r="C41">
        <v>113187.5</v>
      </c>
      <c r="D41">
        <v>10568</v>
      </c>
      <c r="E41">
        <v>58102.5</v>
      </c>
      <c r="F41">
        <v>27840</v>
      </c>
      <c r="G41">
        <v>18928.5</v>
      </c>
      <c r="H41">
        <v>67521</v>
      </c>
      <c r="I41">
        <v>296147.5</v>
      </c>
    </row>
    <row r="42" spans="2:9" x14ac:dyDescent="0.35">
      <c r="B42" s="3" t="s">
        <v>33</v>
      </c>
      <c r="C42">
        <v>94170</v>
      </c>
      <c r="D42">
        <v>6209</v>
      </c>
      <c r="E42">
        <v>44325</v>
      </c>
      <c r="F42">
        <v>29460</v>
      </c>
      <c r="G42">
        <v>29001</v>
      </c>
      <c r="H42">
        <v>58590</v>
      </c>
      <c r="I42">
        <v>261755</v>
      </c>
    </row>
    <row r="43" spans="2:9" x14ac:dyDescent="0.35">
      <c r="B43" s="3" t="s">
        <v>22</v>
      </c>
      <c r="C43">
        <v>87080</v>
      </c>
      <c r="D43">
        <v>7826</v>
      </c>
      <c r="E43">
        <v>46200</v>
      </c>
      <c r="F43">
        <v>32820</v>
      </c>
      <c r="G43">
        <v>22710</v>
      </c>
      <c r="H43">
        <v>42138</v>
      </c>
      <c r="I43">
        <v>238774</v>
      </c>
    </row>
    <row r="44" spans="2:9" x14ac:dyDescent="0.35">
      <c r="B44" s="3" t="s">
        <v>23</v>
      </c>
      <c r="C44">
        <v>148115</v>
      </c>
      <c r="D44">
        <v>14304</v>
      </c>
      <c r="E44">
        <v>63060</v>
      </c>
      <c r="F44">
        <v>60328</v>
      </c>
      <c r="G44">
        <v>54336</v>
      </c>
      <c r="H44">
        <v>94494</v>
      </c>
      <c r="I44">
        <v>434637</v>
      </c>
    </row>
    <row r="45" spans="2:9" x14ac:dyDescent="0.35">
      <c r="B45" s="3" t="s">
        <v>24</v>
      </c>
      <c r="C45">
        <v>70645</v>
      </c>
      <c r="D45">
        <v>10418</v>
      </c>
      <c r="E45">
        <v>32545</v>
      </c>
      <c r="F45">
        <v>38052</v>
      </c>
      <c r="G45">
        <v>24267</v>
      </c>
      <c r="H45">
        <v>41952</v>
      </c>
      <c r="I45">
        <v>217879</v>
      </c>
    </row>
    <row r="46" spans="2:9" x14ac:dyDescent="0.35">
      <c r="B46" s="3" t="s">
        <v>25</v>
      </c>
      <c r="C46">
        <v>168815</v>
      </c>
      <c r="D46">
        <v>14783</v>
      </c>
      <c r="E46">
        <v>57905</v>
      </c>
      <c r="F46">
        <v>57256</v>
      </c>
      <c r="G46">
        <v>47118</v>
      </c>
      <c r="H46">
        <v>73134</v>
      </c>
      <c r="I46">
        <v>419011</v>
      </c>
    </row>
    <row r="47" spans="2:9" x14ac:dyDescent="0.35">
      <c r="B47" s="2" t="s">
        <v>1</v>
      </c>
      <c r="C47">
        <v>1691197.5</v>
      </c>
      <c r="D47">
        <v>154198</v>
      </c>
      <c r="E47">
        <v>776575</v>
      </c>
      <c r="F47">
        <v>587384</v>
      </c>
      <c r="G47">
        <v>506349</v>
      </c>
      <c r="H47">
        <v>974547</v>
      </c>
      <c r="I47">
        <v>4690250.5</v>
      </c>
    </row>
    <row r="50" spans="2:9" x14ac:dyDescent="0.35">
      <c r="B50" t="s">
        <v>34</v>
      </c>
    </row>
    <row r="51" spans="2:9" x14ac:dyDescent="0.35">
      <c r="B51" s="1" t="s">
        <v>14</v>
      </c>
      <c r="C51" s="1" t="s">
        <v>19</v>
      </c>
    </row>
    <row r="52" spans="2:9" x14ac:dyDescent="0.35">
      <c r="B52" s="1" t="s">
        <v>0</v>
      </c>
      <c r="C52" t="s">
        <v>3</v>
      </c>
      <c r="D52" t="s">
        <v>4</v>
      </c>
      <c r="E52" t="s">
        <v>5</v>
      </c>
      <c r="F52" t="s">
        <v>6</v>
      </c>
      <c r="G52" t="s">
        <v>7</v>
      </c>
      <c r="H52" t="s">
        <v>8</v>
      </c>
      <c r="I52" t="s">
        <v>1</v>
      </c>
    </row>
    <row r="53" spans="2:9" x14ac:dyDescent="0.35">
      <c r="B53" s="2" t="s">
        <v>36</v>
      </c>
      <c r="C53" s="5">
        <v>353520</v>
      </c>
      <c r="D53" s="5">
        <v>21481.25</v>
      </c>
      <c r="E53" s="5">
        <v>208454.39999999999</v>
      </c>
      <c r="F53" s="5">
        <v>79210</v>
      </c>
      <c r="G53" s="5">
        <v>44566.375</v>
      </c>
      <c r="H53" s="5">
        <v>121145.375</v>
      </c>
      <c r="I53" s="5">
        <v>828377.40000000014</v>
      </c>
    </row>
    <row r="54" spans="2:9" x14ac:dyDescent="0.35">
      <c r="B54" s="2" t="s">
        <v>37</v>
      </c>
      <c r="C54" s="5">
        <v>196317</v>
      </c>
      <c r="D54" s="5">
        <v>22359.25</v>
      </c>
      <c r="E54" s="5">
        <v>111967.79999999999</v>
      </c>
      <c r="F54" s="5">
        <v>114510</v>
      </c>
      <c r="G54" s="5">
        <v>42040.25</v>
      </c>
      <c r="H54" s="5">
        <v>152480.25</v>
      </c>
      <c r="I54" s="5">
        <v>639674.55000000005</v>
      </c>
    </row>
    <row r="55" spans="2:9" x14ac:dyDescent="0.35">
      <c r="B55" s="2" t="s">
        <v>38</v>
      </c>
      <c r="C55" s="5">
        <v>188578.5</v>
      </c>
      <c r="D55" s="5">
        <v>11645.25</v>
      </c>
      <c r="E55" s="5">
        <v>42994</v>
      </c>
      <c r="F55" s="5">
        <v>50985</v>
      </c>
      <c r="G55" s="5">
        <v>67358.375</v>
      </c>
      <c r="H55" s="5">
        <v>61938.5</v>
      </c>
      <c r="I55" s="5">
        <v>423499.625</v>
      </c>
    </row>
    <row r="56" spans="2:9" x14ac:dyDescent="0.35">
      <c r="B56" s="2" t="s">
        <v>39</v>
      </c>
      <c r="C56" s="5">
        <v>189324</v>
      </c>
      <c r="D56" s="5">
        <v>12379</v>
      </c>
      <c r="E56" s="5">
        <v>54231.799999999996</v>
      </c>
      <c r="F56" s="5">
        <v>58002.5</v>
      </c>
      <c r="G56" s="5">
        <v>99203.125</v>
      </c>
      <c r="H56" s="5">
        <v>110175</v>
      </c>
      <c r="I56" s="5">
        <v>523315.42499999993</v>
      </c>
    </row>
    <row r="57" spans="2:9" x14ac:dyDescent="0.35">
      <c r="B57" s="2" t="s">
        <v>40</v>
      </c>
      <c r="C57" s="5">
        <v>86979</v>
      </c>
      <c r="D57" s="5">
        <v>9234.25</v>
      </c>
      <c r="E57" s="5">
        <v>17234</v>
      </c>
      <c r="F57" s="5">
        <v>64407.5</v>
      </c>
      <c r="G57" s="5">
        <v>42202.125</v>
      </c>
      <c r="H57" s="5">
        <v>82140.5</v>
      </c>
      <c r="I57" s="5">
        <v>302197.375</v>
      </c>
    </row>
    <row r="58" spans="2:9" x14ac:dyDescent="0.35">
      <c r="B58" s="2" t="s">
        <v>1</v>
      </c>
      <c r="C58" s="5">
        <v>1014718.5</v>
      </c>
      <c r="D58" s="5">
        <v>77099</v>
      </c>
      <c r="E58" s="5">
        <v>434882</v>
      </c>
      <c r="F58" s="5">
        <v>367115</v>
      </c>
      <c r="G58" s="5">
        <v>295370.25</v>
      </c>
      <c r="H58" s="5">
        <v>527879.625</v>
      </c>
      <c r="I58" s="5">
        <v>2717064.3750000005</v>
      </c>
    </row>
    <row r="62" spans="2:9" x14ac:dyDescent="0.35">
      <c r="B62" t="s">
        <v>45</v>
      </c>
    </row>
    <row r="63" spans="2:9" x14ac:dyDescent="0.35">
      <c r="B63" s="1" t="s">
        <v>46</v>
      </c>
      <c r="C63" s="1" t="s">
        <v>19</v>
      </c>
    </row>
    <row r="64" spans="2:9" x14ac:dyDescent="0.35">
      <c r="B64" s="1" t="s">
        <v>0</v>
      </c>
      <c r="C64" t="s">
        <v>36</v>
      </c>
      <c r="D64" t="s">
        <v>37</v>
      </c>
      <c r="E64" t="s">
        <v>38</v>
      </c>
      <c r="F64" t="s">
        <v>39</v>
      </c>
      <c r="G64" t="s">
        <v>40</v>
      </c>
      <c r="H64" t="s">
        <v>1</v>
      </c>
    </row>
    <row r="65" spans="2:8" x14ac:dyDescent="0.35">
      <c r="B65" s="2" t="s">
        <v>3</v>
      </c>
      <c r="C65" s="5">
        <v>235680</v>
      </c>
      <c r="D65" s="5">
        <v>130878</v>
      </c>
      <c r="E65" s="5">
        <v>125719</v>
      </c>
      <c r="F65" s="5">
        <v>126216</v>
      </c>
      <c r="G65" s="5">
        <v>57986</v>
      </c>
      <c r="H65" s="5">
        <v>676479</v>
      </c>
    </row>
    <row r="66" spans="2:8" x14ac:dyDescent="0.35">
      <c r="B66" s="2" t="s">
        <v>4</v>
      </c>
      <c r="C66" s="5">
        <v>21481.25</v>
      </c>
      <c r="D66" s="5">
        <v>22359.25</v>
      </c>
      <c r="E66" s="5">
        <v>11645.25</v>
      </c>
      <c r="F66" s="5">
        <v>12379</v>
      </c>
      <c r="G66" s="5">
        <v>9234.25</v>
      </c>
      <c r="H66" s="5">
        <v>77099</v>
      </c>
    </row>
    <row r="67" spans="2:8" x14ac:dyDescent="0.35">
      <c r="B67" s="2" t="s">
        <v>5</v>
      </c>
      <c r="C67" s="5">
        <v>163785.60000000003</v>
      </c>
      <c r="D67" s="5">
        <v>87974.700000000012</v>
      </c>
      <c r="E67" s="5">
        <v>33781</v>
      </c>
      <c r="F67" s="5">
        <v>42610.700000000004</v>
      </c>
      <c r="G67" s="5">
        <v>13541</v>
      </c>
      <c r="H67" s="5">
        <v>341693.00000000006</v>
      </c>
    </row>
    <row r="68" spans="2:8" x14ac:dyDescent="0.35">
      <c r="B68" s="2" t="s">
        <v>6</v>
      </c>
      <c r="C68" s="5">
        <v>47526</v>
      </c>
      <c r="D68" s="5">
        <v>68706</v>
      </c>
      <c r="E68" s="5">
        <v>30591</v>
      </c>
      <c r="F68" s="5">
        <v>34801.5</v>
      </c>
      <c r="G68" s="5">
        <v>38644.5</v>
      </c>
      <c r="H68" s="5">
        <v>220269</v>
      </c>
    </row>
    <row r="69" spans="2:8" x14ac:dyDescent="0.35">
      <c r="B69" s="2" t="s">
        <v>7</v>
      </c>
      <c r="C69" s="5">
        <v>31833.125</v>
      </c>
      <c r="D69" s="5">
        <v>30028.75</v>
      </c>
      <c r="E69" s="5">
        <v>48113.125</v>
      </c>
      <c r="F69" s="5">
        <v>70859.375</v>
      </c>
      <c r="G69" s="5">
        <v>30144.375</v>
      </c>
      <c r="H69" s="5">
        <v>210978.75</v>
      </c>
    </row>
    <row r="70" spans="2:8" x14ac:dyDescent="0.35">
      <c r="B70" s="2" t="s">
        <v>8</v>
      </c>
      <c r="C70" s="5">
        <v>102507.625</v>
      </c>
      <c r="D70" s="5">
        <v>129021.75</v>
      </c>
      <c r="E70" s="5">
        <v>52409.5</v>
      </c>
      <c r="F70" s="5">
        <v>93225</v>
      </c>
      <c r="G70" s="5">
        <v>69503.5</v>
      </c>
      <c r="H70" s="5">
        <v>446667.375</v>
      </c>
    </row>
    <row r="71" spans="2:8" x14ac:dyDescent="0.35">
      <c r="B71" s="2" t="s">
        <v>1</v>
      </c>
      <c r="C71" s="5">
        <v>602813.59999999986</v>
      </c>
      <c r="D71" s="5">
        <v>468968.44999999995</v>
      </c>
      <c r="E71" s="5">
        <v>302258.875</v>
      </c>
      <c r="F71" s="5">
        <v>380091.57500000007</v>
      </c>
      <c r="G71" s="5">
        <v>219053.625</v>
      </c>
      <c r="H71" s="5">
        <v>1973186.1249999998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644FE-E598-439B-9818-CA55ACDB1635}">
  <dimension ref="B4:G11"/>
  <sheetViews>
    <sheetView workbookViewId="0">
      <selection activeCell="B2" sqref="B2"/>
    </sheetView>
  </sheetViews>
  <sheetFormatPr defaultRowHeight="14.5" x14ac:dyDescent="0.35"/>
  <cols>
    <col min="2" max="2" width="28" bestFit="1" customWidth="1"/>
    <col min="3" max="3" width="15.81640625" bestFit="1" customWidth="1"/>
  </cols>
  <sheetData>
    <row r="4" spans="2:7" x14ac:dyDescent="0.35">
      <c r="B4" t="s">
        <v>35</v>
      </c>
    </row>
    <row r="5" spans="2:7" x14ac:dyDescent="0.35">
      <c r="B5" s="1" t="s">
        <v>0</v>
      </c>
      <c r="C5" t="s">
        <v>2</v>
      </c>
    </row>
    <row r="6" spans="2:7" x14ac:dyDescent="0.35">
      <c r="B6" s="2" t="s">
        <v>9</v>
      </c>
      <c r="C6">
        <v>132</v>
      </c>
      <c r="G6" t="s">
        <v>41</v>
      </c>
    </row>
    <row r="7" spans="2:7" x14ac:dyDescent="0.35">
      <c r="B7" s="2" t="s">
        <v>10</v>
      </c>
      <c r="C7">
        <v>206</v>
      </c>
      <c r="G7" t="s">
        <v>42</v>
      </c>
    </row>
    <row r="8" spans="2:7" x14ac:dyDescent="0.35">
      <c r="B8" s="2" t="s">
        <v>11</v>
      </c>
      <c r="C8">
        <v>114</v>
      </c>
      <c r="G8" t="s">
        <v>43</v>
      </c>
    </row>
    <row r="9" spans="2:7" x14ac:dyDescent="0.35">
      <c r="B9" s="2" t="s">
        <v>12</v>
      </c>
      <c r="C9">
        <v>92</v>
      </c>
      <c r="G9" t="s">
        <v>44</v>
      </c>
    </row>
    <row r="10" spans="2:7" x14ac:dyDescent="0.35">
      <c r="B10" s="2" t="s">
        <v>13</v>
      </c>
      <c r="C10">
        <v>156</v>
      </c>
    </row>
    <row r="11" spans="2:7" x14ac:dyDescent="0.35">
      <c r="B11" s="2" t="s">
        <v>1</v>
      </c>
      <c r="C11">
        <v>700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499B-AB15-4ACB-A7C9-916A23A253F6}">
  <dimension ref="B4:D12"/>
  <sheetViews>
    <sheetView workbookViewId="0">
      <selection activeCell="B4" sqref="B4"/>
    </sheetView>
  </sheetViews>
  <sheetFormatPr defaultRowHeight="14.5" x14ac:dyDescent="0.35"/>
  <cols>
    <col min="2" max="2" width="28.54296875" bestFit="1" customWidth="1"/>
    <col min="3" max="3" width="14.36328125" bestFit="1" customWidth="1"/>
    <col min="4" max="5" width="11.81640625" bestFit="1" customWidth="1"/>
  </cols>
  <sheetData>
    <row r="4" spans="2:4" x14ac:dyDescent="0.35">
      <c r="B4" t="s">
        <v>17</v>
      </c>
    </row>
    <row r="5" spans="2:4" x14ac:dyDescent="0.35">
      <c r="B5" s="1" t="s">
        <v>0</v>
      </c>
      <c r="C5" t="s">
        <v>15</v>
      </c>
      <c r="D5" t="s">
        <v>14</v>
      </c>
    </row>
    <row r="6" spans="2:4" x14ac:dyDescent="0.35">
      <c r="B6" s="2" t="s">
        <v>3</v>
      </c>
      <c r="C6" s="4">
        <v>1691197.5</v>
      </c>
      <c r="D6" s="4">
        <v>1014718.5</v>
      </c>
    </row>
    <row r="7" spans="2:4" x14ac:dyDescent="0.35">
      <c r="B7" s="2" t="s">
        <v>4</v>
      </c>
      <c r="C7" s="4">
        <v>154198</v>
      </c>
      <c r="D7" s="4">
        <v>77099</v>
      </c>
    </row>
    <row r="8" spans="2:4" x14ac:dyDescent="0.35">
      <c r="B8" s="2" t="s">
        <v>5</v>
      </c>
      <c r="C8" s="4">
        <v>776575</v>
      </c>
      <c r="D8" s="4">
        <v>434882</v>
      </c>
    </row>
    <row r="9" spans="2:4" x14ac:dyDescent="0.35">
      <c r="B9" s="2" t="s">
        <v>6</v>
      </c>
      <c r="C9" s="4">
        <v>587384</v>
      </c>
      <c r="D9" s="4">
        <v>367115</v>
      </c>
    </row>
    <row r="10" spans="2:4" x14ac:dyDescent="0.35">
      <c r="B10" s="2" t="s">
        <v>7</v>
      </c>
      <c r="C10" s="4">
        <v>506349</v>
      </c>
      <c r="D10" s="4">
        <v>295370.25</v>
      </c>
    </row>
    <row r="11" spans="2:4" x14ac:dyDescent="0.35">
      <c r="B11" s="2" t="s">
        <v>8</v>
      </c>
      <c r="C11" s="4">
        <v>974547</v>
      </c>
      <c r="D11" s="4">
        <v>527879.625</v>
      </c>
    </row>
    <row r="12" spans="2:4" x14ac:dyDescent="0.35">
      <c r="B12" s="2" t="s">
        <v>1</v>
      </c>
      <c r="C12" s="4">
        <v>4690250.5</v>
      </c>
      <c r="D12" s="4">
        <v>2717064.3750000005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B30B-274C-4978-A5D3-31E55D1B90AA}">
  <dimension ref="B5:I25"/>
  <sheetViews>
    <sheetView zoomScale="60" workbookViewId="0">
      <selection activeCell="N27" sqref="N27"/>
    </sheetView>
  </sheetViews>
  <sheetFormatPr defaultRowHeight="14.5" x14ac:dyDescent="0.35"/>
  <cols>
    <col min="1" max="1" width="8.7265625" customWidth="1"/>
    <col min="2" max="2" width="14.6328125" bestFit="1" customWidth="1"/>
    <col min="3" max="3" width="16.7265625" bestFit="1" customWidth="1"/>
    <col min="4" max="4" width="13.90625" bestFit="1" customWidth="1"/>
    <col min="5" max="5" width="13.453125" bestFit="1" customWidth="1"/>
    <col min="6" max="6" width="12.6328125" bestFit="1" customWidth="1"/>
    <col min="7" max="7" width="8.453125" bestFit="1" customWidth="1"/>
    <col min="8" max="8" width="28.81640625" bestFit="1" customWidth="1"/>
    <col min="9" max="9" width="10.7265625" bestFit="1" customWidth="1"/>
  </cols>
  <sheetData>
    <row r="5" spans="2:9" x14ac:dyDescent="0.35">
      <c r="B5" s="1" t="s">
        <v>15</v>
      </c>
      <c r="C5" s="1" t="s">
        <v>19</v>
      </c>
    </row>
    <row r="6" spans="2:9" x14ac:dyDescent="0.35">
      <c r="B6" s="1" t="s">
        <v>0</v>
      </c>
      <c r="C6" t="s">
        <v>3</v>
      </c>
      <c r="D6" t="s">
        <v>4</v>
      </c>
      <c r="E6" t="s">
        <v>5</v>
      </c>
      <c r="F6" t="s">
        <v>6</v>
      </c>
      <c r="G6" t="s">
        <v>7</v>
      </c>
      <c r="H6" t="s">
        <v>8</v>
      </c>
      <c r="I6" t="s">
        <v>1</v>
      </c>
    </row>
    <row r="7" spans="2:9" x14ac:dyDescent="0.35">
      <c r="B7" s="2" t="s">
        <v>20</v>
      </c>
    </row>
    <row r="8" spans="2:9" x14ac:dyDescent="0.35">
      <c r="B8" s="3" t="s">
        <v>22</v>
      </c>
      <c r="C8">
        <v>78950</v>
      </c>
      <c r="D8">
        <v>6620</v>
      </c>
      <c r="E8">
        <v>33455</v>
      </c>
      <c r="F8">
        <v>24180</v>
      </c>
      <c r="G8">
        <v>23859</v>
      </c>
      <c r="H8">
        <v>45012</v>
      </c>
      <c r="I8">
        <v>212076</v>
      </c>
    </row>
    <row r="9" spans="2:9" x14ac:dyDescent="0.35">
      <c r="B9" s="3" t="s">
        <v>23</v>
      </c>
      <c r="C9">
        <v>133945</v>
      </c>
      <c r="D9">
        <v>17608</v>
      </c>
      <c r="E9">
        <v>70220</v>
      </c>
      <c r="F9">
        <v>46284</v>
      </c>
      <c r="G9">
        <v>35322</v>
      </c>
      <c r="H9">
        <v>83016</v>
      </c>
      <c r="I9">
        <v>386395</v>
      </c>
    </row>
    <row r="10" spans="2:9" x14ac:dyDescent="0.35">
      <c r="B10" s="3" t="s">
        <v>24</v>
      </c>
      <c r="C10">
        <v>104060</v>
      </c>
      <c r="D10">
        <v>7821</v>
      </c>
      <c r="E10">
        <v>28545</v>
      </c>
      <c r="F10">
        <v>30760</v>
      </c>
      <c r="G10">
        <v>39768</v>
      </c>
      <c r="H10">
        <v>61158</v>
      </c>
      <c r="I10">
        <v>272112</v>
      </c>
    </row>
    <row r="11" spans="2:9" x14ac:dyDescent="0.35">
      <c r="B11" s="3" t="s">
        <v>25</v>
      </c>
      <c r="C11">
        <v>94280</v>
      </c>
      <c r="D11">
        <v>4231</v>
      </c>
      <c r="E11">
        <v>36220</v>
      </c>
      <c r="F11">
        <v>24392</v>
      </c>
      <c r="G11">
        <v>25803</v>
      </c>
      <c r="H11">
        <v>47640</v>
      </c>
      <c r="I11">
        <v>232566</v>
      </c>
    </row>
    <row r="12" spans="2:9" x14ac:dyDescent="0.35">
      <c r="B12" s="2" t="s">
        <v>21</v>
      </c>
    </row>
    <row r="13" spans="2:9" x14ac:dyDescent="0.35">
      <c r="B13" s="3" t="s">
        <v>26</v>
      </c>
      <c r="C13">
        <v>117990</v>
      </c>
      <c r="D13">
        <v>7700.5</v>
      </c>
      <c r="E13">
        <v>50097.5</v>
      </c>
      <c r="F13">
        <v>26314</v>
      </c>
      <c r="G13">
        <v>29902.5</v>
      </c>
      <c r="H13">
        <v>59829</v>
      </c>
      <c r="I13">
        <v>291833.5</v>
      </c>
    </row>
    <row r="14" spans="2:9" x14ac:dyDescent="0.35">
      <c r="B14" s="3" t="s">
        <v>27</v>
      </c>
      <c r="C14">
        <v>73145</v>
      </c>
      <c r="D14">
        <v>5405</v>
      </c>
      <c r="E14">
        <v>42375</v>
      </c>
      <c r="F14">
        <v>30012</v>
      </c>
      <c r="G14">
        <v>33630</v>
      </c>
      <c r="H14">
        <v>47358</v>
      </c>
      <c r="I14">
        <v>231925</v>
      </c>
    </row>
    <row r="15" spans="2:9" x14ac:dyDescent="0.35">
      <c r="B15" s="3" t="s">
        <v>28</v>
      </c>
      <c r="C15">
        <v>83475</v>
      </c>
      <c r="D15">
        <v>8280</v>
      </c>
      <c r="E15">
        <v>38580</v>
      </c>
      <c r="F15">
        <v>25904</v>
      </c>
      <c r="G15">
        <v>22686</v>
      </c>
      <c r="H15">
        <v>40146</v>
      </c>
      <c r="I15">
        <v>219071</v>
      </c>
    </row>
    <row r="16" spans="2:9" x14ac:dyDescent="0.35">
      <c r="B16" s="3" t="s">
        <v>29</v>
      </c>
      <c r="C16">
        <v>118265</v>
      </c>
      <c r="D16">
        <v>10055.5</v>
      </c>
      <c r="E16">
        <v>53835</v>
      </c>
      <c r="F16">
        <v>54362</v>
      </c>
      <c r="G16">
        <v>28086</v>
      </c>
      <c r="H16">
        <v>68751</v>
      </c>
      <c r="I16">
        <v>333354.5</v>
      </c>
    </row>
    <row r="17" spans="2:9" x14ac:dyDescent="0.35">
      <c r="B17" s="3" t="s">
        <v>30</v>
      </c>
      <c r="C17">
        <v>77085</v>
      </c>
      <c r="D17">
        <v>8300</v>
      </c>
      <c r="E17">
        <v>51185</v>
      </c>
      <c r="F17">
        <v>19200</v>
      </c>
      <c r="G17">
        <v>18006</v>
      </c>
      <c r="H17">
        <v>42090</v>
      </c>
      <c r="I17">
        <v>215866</v>
      </c>
    </row>
    <row r="18" spans="2:9" x14ac:dyDescent="0.35">
      <c r="B18" s="3" t="s">
        <v>31</v>
      </c>
      <c r="C18">
        <v>127990</v>
      </c>
      <c r="D18">
        <v>14069</v>
      </c>
      <c r="E18">
        <v>69925</v>
      </c>
      <c r="F18">
        <v>60220</v>
      </c>
      <c r="G18">
        <v>52926</v>
      </c>
      <c r="H18">
        <v>101718</v>
      </c>
      <c r="I18">
        <v>426848</v>
      </c>
    </row>
    <row r="19" spans="2:9" x14ac:dyDescent="0.35">
      <c r="B19" s="3" t="s">
        <v>32</v>
      </c>
      <c r="C19">
        <v>113187.5</v>
      </c>
      <c r="D19">
        <v>10568</v>
      </c>
      <c r="E19">
        <v>58102.5</v>
      </c>
      <c r="F19">
        <v>27840</v>
      </c>
      <c r="G19">
        <v>18928.5</v>
      </c>
      <c r="H19">
        <v>67521</v>
      </c>
      <c r="I19">
        <v>296147.5</v>
      </c>
    </row>
    <row r="20" spans="2:9" x14ac:dyDescent="0.35">
      <c r="B20" s="3" t="s">
        <v>33</v>
      </c>
      <c r="C20">
        <v>94170</v>
      </c>
      <c r="D20">
        <v>6209</v>
      </c>
      <c r="E20">
        <v>44325</v>
      </c>
      <c r="F20">
        <v>29460</v>
      </c>
      <c r="G20">
        <v>29001</v>
      </c>
      <c r="H20">
        <v>58590</v>
      </c>
      <c r="I20">
        <v>261755</v>
      </c>
    </row>
    <row r="21" spans="2:9" x14ac:dyDescent="0.35">
      <c r="B21" s="3" t="s">
        <v>22</v>
      </c>
      <c r="C21">
        <v>87080</v>
      </c>
      <c r="D21">
        <v>7826</v>
      </c>
      <c r="E21">
        <v>46200</v>
      </c>
      <c r="F21">
        <v>32820</v>
      </c>
      <c r="G21">
        <v>22710</v>
      </c>
      <c r="H21">
        <v>42138</v>
      </c>
      <c r="I21">
        <v>238774</v>
      </c>
    </row>
    <row r="22" spans="2:9" x14ac:dyDescent="0.35">
      <c r="B22" s="3" t="s">
        <v>23</v>
      </c>
      <c r="C22">
        <v>148115</v>
      </c>
      <c r="D22">
        <v>14304</v>
      </c>
      <c r="E22">
        <v>63060</v>
      </c>
      <c r="F22">
        <v>60328</v>
      </c>
      <c r="G22">
        <v>54336</v>
      </c>
      <c r="H22">
        <v>94494</v>
      </c>
      <c r="I22">
        <v>434637</v>
      </c>
    </row>
    <row r="23" spans="2:9" x14ac:dyDescent="0.35">
      <c r="B23" s="3" t="s">
        <v>24</v>
      </c>
      <c r="C23">
        <v>70645</v>
      </c>
      <c r="D23">
        <v>10418</v>
      </c>
      <c r="E23">
        <v>32545</v>
      </c>
      <c r="F23">
        <v>38052</v>
      </c>
      <c r="G23">
        <v>24267</v>
      </c>
      <c r="H23">
        <v>41952</v>
      </c>
      <c r="I23">
        <v>217879</v>
      </c>
    </row>
    <row r="24" spans="2:9" x14ac:dyDescent="0.35">
      <c r="B24" s="3" t="s">
        <v>25</v>
      </c>
      <c r="C24">
        <v>168815</v>
      </c>
      <c r="D24">
        <v>14783</v>
      </c>
      <c r="E24">
        <v>57905</v>
      </c>
      <c r="F24">
        <v>57256</v>
      </c>
      <c r="G24">
        <v>47118</v>
      </c>
      <c r="H24">
        <v>73134</v>
      </c>
      <c r="I24">
        <v>419011</v>
      </c>
    </row>
    <row r="25" spans="2:9" x14ac:dyDescent="0.35">
      <c r="B25" s="2" t="s">
        <v>1</v>
      </c>
      <c r="C25">
        <v>1691197.5</v>
      </c>
      <c r="D25">
        <v>154198</v>
      </c>
      <c r="E25">
        <v>776575</v>
      </c>
      <c r="F25">
        <v>587384</v>
      </c>
      <c r="G25">
        <v>506349</v>
      </c>
      <c r="H25">
        <v>974547</v>
      </c>
      <c r="I25">
        <v>4690250.5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08D2-9104-4756-AD10-ED4F6821D69F}">
  <dimension ref="B1:H11"/>
  <sheetViews>
    <sheetView workbookViewId="0">
      <selection activeCell="K9" sqref="K9"/>
    </sheetView>
  </sheetViews>
  <sheetFormatPr defaultRowHeight="14.5" x14ac:dyDescent="0.35"/>
  <cols>
    <col min="2" max="2" width="28.54296875" bestFit="1" customWidth="1"/>
    <col min="3" max="3" width="15.26953125" bestFit="1" customWidth="1"/>
    <col min="4" max="4" width="10.36328125" bestFit="1" customWidth="1"/>
    <col min="5" max="5" width="6.81640625" bestFit="1" customWidth="1"/>
    <col min="6" max="6" width="11.81640625" bestFit="1" customWidth="1"/>
    <col min="7" max="7" width="6.81640625" bestFit="1" customWidth="1"/>
    <col min="8" max="8" width="10.7265625" bestFit="1" customWidth="1"/>
  </cols>
  <sheetData>
    <row r="1" spans="2:8" x14ac:dyDescent="0.35">
      <c r="B1" t="s">
        <v>45</v>
      </c>
    </row>
    <row r="3" spans="2:8" x14ac:dyDescent="0.35">
      <c r="B3" s="1" t="s">
        <v>46</v>
      </c>
      <c r="C3" s="1" t="s">
        <v>19</v>
      </c>
    </row>
    <row r="4" spans="2:8" x14ac:dyDescent="0.35">
      <c r="B4" s="1" t="s">
        <v>0</v>
      </c>
      <c r="C4" t="s">
        <v>36</v>
      </c>
      <c r="D4" t="s">
        <v>37</v>
      </c>
      <c r="E4" t="s">
        <v>38</v>
      </c>
      <c r="F4" t="s">
        <v>39</v>
      </c>
      <c r="G4" t="s">
        <v>40</v>
      </c>
      <c r="H4" t="s">
        <v>1</v>
      </c>
    </row>
    <row r="5" spans="2:8" x14ac:dyDescent="0.35">
      <c r="B5" s="2" t="s">
        <v>3</v>
      </c>
      <c r="C5" s="5">
        <v>235680</v>
      </c>
      <c r="D5" s="5">
        <v>130878</v>
      </c>
      <c r="E5" s="5">
        <v>125719</v>
      </c>
      <c r="F5" s="5">
        <v>126216</v>
      </c>
      <c r="G5" s="5">
        <v>57986</v>
      </c>
      <c r="H5" s="5">
        <v>676479</v>
      </c>
    </row>
    <row r="6" spans="2:8" x14ac:dyDescent="0.35">
      <c r="B6" s="2" t="s">
        <v>4</v>
      </c>
      <c r="C6" s="5">
        <v>21481.25</v>
      </c>
      <c r="D6" s="5">
        <v>22359.25</v>
      </c>
      <c r="E6" s="5">
        <v>11645.25</v>
      </c>
      <c r="F6" s="5">
        <v>12379</v>
      </c>
      <c r="G6" s="5">
        <v>9234.25</v>
      </c>
      <c r="H6" s="5">
        <v>77099</v>
      </c>
    </row>
    <row r="7" spans="2:8" x14ac:dyDescent="0.35">
      <c r="B7" s="2" t="s">
        <v>5</v>
      </c>
      <c r="C7" s="5">
        <v>163785.60000000003</v>
      </c>
      <c r="D7" s="5">
        <v>87974.700000000012</v>
      </c>
      <c r="E7" s="5">
        <v>33781</v>
      </c>
      <c r="F7" s="5">
        <v>42610.700000000004</v>
      </c>
      <c r="G7" s="5">
        <v>13541</v>
      </c>
      <c r="H7" s="5">
        <v>341693.00000000006</v>
      </c>
    </row>
    <row r="8" spans="2:8" x14ac:dyDescent="0.35">
      <c r="B8" s="2" t="s">
        <v>6</v>
      </c>
      <c r="C8" s="5">
        <v>47526</v>
      </c>
      <c r="D8" s="5">
        <v>68706</v>
      </c>
      <c r="E8" s="5">
        <v>30591</v>
      </c>
      <c r="F8" s="5">
        <v>34801.5</v>
      </c>
      <c r="G8" s="5">
        <v>38644.5</v>
      </c>
      <c r="H8" s="5">
        <v>220269</v>
      </c>
    </row>
    <row r="9" spans="2:8" x14ac:dyDescent="0.35">
      <c r="B9" s="2" t="s">
        <v>7</v>
      </c>
      <c r="C9" s="5">
        <v>31833.125</v>
      </c>
      <c r="D9" s="5">
        <v>30028.75</v>
      </c>
      <c r="E9" s="5">
        <v>48113.125</v>
      </c>
      <c r="F9" s="5">
        <v>70859.375</v>
      </c>
      <c r="G9" s="5">
        <v>30144.375</v>
      </c>
      <c r="H9" s="5">
        <v>210978.75</v>
      </c>
    </row>
    <row r="10" spans="2:8" x14ac:dyDescent="0.35">
      <c r="B10" s="2" t="s">
        <v>8</v>
      </c>
      <c r="C10" s="5">
        <v>102507.625</v>
      </c>
      <c r="D10" s="5">
        <v>129021.75</v>
      </c>
      <c r="E10" s="5">
        <v>52409.5</v>
      </c>
      <c r="F10" s="5">
        <v>93225</v>
      </c>
      <c r="G10" s="5">
        <v>69503.5</v>
      </c>
      <c r="H10" s="5">
        <v>446667.375</v>
      </c>
    </row>
    <row r="11" spans="2:8" x14ac:dyDescent="0.35">
      <c r="B11" s="2" t="s">
        <v>1</v>
      </c>
      <c r="C11" s="5">
        <v>602813.59999999986</v>
      </c>
      <c r="D11" s="5">
        <v>468968.44999999995</v>
      </c>
      <c r="E11" s="5">
        <v>302258.875</v>
      </c>
      <c r="F11" s="5">
        <v>380091.57500000007</v>
      </c>
      <c r="G11" s="5">
        <v>219053.625</v>
      </c>
      <c r="H11" s="5">
        <v>1973186.1249999998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0A1F-EBAE-4FDF-AAF1-B10467AF99AE}">
  <dimension ref="B16:E17"/>
  <sheetViews>
    <sheetView topLeftCell="A13" workbookViewId="0">
      <selection activeCell="D22" sqref="D22"/>
    </sheetView>
  </sheetViews>
  <sheetFormatPr defaultRowHeight="14.5" x14ac:dyDescent="0.35"/>
  <cols>
    <col min="2" max="2" width="14.36328125" bestFit="1" customWidth="1"/>
    <col min="3" max="3" width="13.6328125" bestFit="1" customWidth="1"/>
    <col min="4" max="4" width="15.81640625" bestFit="1" customWidth="1"/>
    <col min="5" max="5" width="17.36328125" bestFit="1" customWidth="1"/>
    <col min="6" max="6" width="11.81640625" bestFit="1" customWidth="1"/>
    <col min="7" max="7" width="6.81640625" bestFit="1" customWidth="1"/>
    <col min="8" max="8" width="10.7265625" bestFit="1" customWidth="1"/>
  </cols>
  <sheetData>
    <row r="16" spans="2:5" x14ac:dyDescent="0.35">
      <c r="B16" t="s">
        <v>15</v>
      </c>
      <c r="C16" t="s">
        <v>14</v>
      </c>
      <c r="D16" t="s">
        <v>2</v>
      </c>
      <c r="E16" t="s">
        <v>47</v>
      </c>
    </row>
    <row r="17" spans="2:5" x14ac:dyDescent="0.35">
      <c r="B17" s="6">
        <v>4690250.5</v>
      </c>
      <c r="C17" s="6">
        <v>2717064.3750000005</v>
      </c>
      <c r="D17">
        <v>700</v>
      </c>
      <c r="E17" s="5">
        <f>GETPIVOTDATA("[Measures].[Sum of Revenue]",$B$16)/GETPIVOTDATA("[Measures].[Count of Order ID]",$B$16)</f>
        <v>6700.357857142857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7911802-1E2D-4EEC-A146-E1E6AC727B96}">
  <ds:schemaRefs/>
</ds:datastoreItem>
</file>

<file path=customXml/itemProps2.xml><?xml version="1.0" encoding="utf-8"?>
<ds:datastoreItem xmlns:ds="http://schemas.openxmlformats.org/officeDocument/2006/customXml" ds:itemID="{1A7D318B-5396-47FF-AFFB-862494978024}">
  <ds:schemaRefs/>
</ds:datastoreItem>
</file>

<file path=customXml/itemProps3.xml><?xml version="1.0" encoding="utf-8"?>
<ds:datastoreItem xmlns:ds="http://schemas.openxmlformats.org/officeDocument/2006/customXml" ds:itemID="{94F0B7D4-41BE-4E4C-BF77-29401D19C18F}">
  <ds:schemaRefs/>
</ds:datastoreItem>
</file>

<file path=customXml/itemProps4.xml><?xml version="1.0" encoding="utf-8"?>
<ds:datastoreItem xmlns:ds="http://schemas.openxmlformats.org/officeDocument/2006/customXml" ds:itemID="{30DC7DB4-7B8E-4C8A-8DE3-A8AB10C7C75D}">
  <ds:schemaRefs/>
</ds:datastoreItem>
</file>

<file path=customXml/itemProps5.xml><?xml version="1.0" encoding="utf-8"?>
<ds:datastoreItem xmlns:ds="http://schemas.openxmlformats.org/officeDocument/2006/customXml" ds:itemID="{7164D8C2-4296-40B7-B823-381A6800401B}">
  <ds:schemaRefs/>
</ds:datastoreItem>
</file>

<file path=customXml/itemProps6.xml><?xml version="1.0" encoding="utf-8"?>
<ds:datastoreItem xmlns:ds="http://schemas.openxmlformats.org/officeDocument/2006/customXml" ds:itemID="{CD4DC07C-28E8-4246-9078-BFB60896BF9B}">
  <ds:schemaRefs/>
</ds:datastoreItem>
</file>

<file path=customXml/itemProps7.xml><?xml version="1.0" encoding="utf-8"?>
<ds:datastoreItem xmlns:ds="http://schemas.openxmlformats.org/officeDocument/2006/customXml" ds:itemID="{4EEFB07F-C12B-4C67-B388-2A139A7455E6}">
  <ds:schemaRefs/>
</ds:datastoreItem>
</file>

<file path=customXml/itemProps8.xml><?xml version="1.0" encoding="utf-8"?>
<ds:datastoreItem xmlns:ds="http://schemas.openxmlformats.org/officeDocument/2006/customXml" ds:itemID="{76984006-8823-47AE-8C76-CB1D0F331F33}">
  <ds:schemaRefs/>
</ds:datastoreItem>
</file>

<file path=customXml/itemProps9.xml><?xml version="1.0" encoding="utf-8"?>
<ds:datastoreItem xmlns:ds="http://schemas.openxmlformats.org/officeDocument/2006/customXml" ds:itemID="{CA0C3F07-97ED-4E46-870C-D316B8BC8F5A}">
  <ds:schemaRefs/>
</ds:datastoreItem>
</file>

<file path=customXml/itemProps10.xml><?xml version="1.0" encoding="utf-8"?>
<ds:datastoreItem xmlns:ds="http://schemas.openxmlformats.org/officeDocument/2006/customXml" ds:itemID="{EF57B08E-538F-49CC-95DA-AD7C77BBF8B0}">
  <ds:schemaRefs/>
</ds:datastoreItem>
</file>

<file path=customXml/itemProps11.xml><?xml version="1.0" encoding="utf-8"?>
<ds:datastoreItem xmlns:ds="http://schemas.openxmlformats.org/officeDocument/2006/customXml" ds:itemID="{4214845B-E0A7-42E2-B498-A829547C7C52}">
  <ds:schemaRefs/>
</ds:datastoreItem>
</file>

<file path=customXml/itemProps12.xml><?xml version="1.0" encoding="utf-8"?>
<ds:datastoreItem xmlns:ds="http://schemas.openxmlformats.org/officeDocument/2006/customXml" ds:itemID="{40BC94DE-B1F9-4E80-B25E-70A647966D09}">
  <ds:schemaRefs/>
</ds:datastoreItem>
</file>

<file path=customXml/itemProps13.xml><?xml version="1.0" encoding="utf-8"?>
<ds:datastoreItem xmlns:ds="http://schemas.openxmlformats.org/officeDocument/2006/customXml" ds:itemID="{485D1D37-C649-489E-8F2F-0E0E01D9FE76}">
  <ds:schemaRefs/>
</ds:datastoreItem>
</file>

<file path=customXml/itemProps14.xml><?xml version="1.0" encoding="utf-8"?>
<ds:datastoreItem xmlns:ds="http://schemas.openxmlformats.org/officeDocument/2006/customXml" ds:itemID="{D3C537BD-FAC0-4E52-80DA-428AC74B8298}">
  <ds:schemaRefs/>
</ds:datastoreItem>
</file>

<file path=customXml/itemProps15.xml><?xml version="1.0" encoding="utf-8"?>
<ds:datastoreItem xmlns:ds="http://schemas.openxmlformats.org/officeDocument/2006/customXml" ds:itemID="{291FA8F0-730B-4EE2-B1EA-6BF12FE98B40}">
  <ds:schemaRefs/>
</ds:datastoreItem>
</file>

<file path=customXml/itemProps16.xml><?xml version="1.0" encoding="utf-8"?>
<ds:datastoreItem xmlns:ds="http://schemas.openxmlformats.org/officeDocument/2006/customXml" ds:itemID="{E7066954-8FD8-4120-998D-0BBF0051DEE1}">
  <ds:schemaRefs/>
</ds:datastoreItem>
</file>

<file path=customXml/itemProps17.xml><?xml version="1.0" encoding="utf-8"?>
<ds:datastoreItem xmlns:ds="http://schemas.openxmlformats.org/officeDocument/2006/customXml" ds:itemID="{76672C6C-F721-4C0B-83E0-7D9C9EE70D28}">
  <ds:schemaRefs/>
</ds:datastoreItem>
</file>

<file path=customXml/itemProps18.xml><?xml version="1.0" encoding="utf-8"?>
<ds:datastoreItem xmlns:ds="http://schemas.openxmlformats.org/officeDocument/2006/customXml" ds:itemID="{32F572D1-C6C6-4C1A-8233-525A53DF4F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All-in-one</vt:lpstr>
      <vt:lpstr>product wise sales count</vt:lpstr>
      <vt:lpstr>product wise revenue and profit</vt:lpstr>
      <vt:lpstr>create pivot table for each yea</vt:lpstr>
      <vt:lpstr>performance of each cookie per </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Varunesh T</dc:creator>
  <cp:lastModifiedBy>Varunesh T</cp:lastModifiedBy>
  <dcterms:created xsi:type="dcterms:W3CDTF">2026-06-04T05:37:59Z</dcterms:created>
  <dcterms:modified xsi:type="dcterms:W3CDTF">2026-06-09T13:25:36Z</dcterms:modified>
</cp:coreProperties>
</file>