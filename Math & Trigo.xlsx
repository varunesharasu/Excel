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esant\Excel\"/>
    </mc:Choice>
  </mc:AlternateContent>
  <xr:revisionPtr revIDLastSave="0" documentId="13_ncr:1_{C3D2F34E-FC6A-44F7-87F6-CA959EAAB19F}" xr6:coauthVersionLast="47" xr6:coauthVersionMax="47" xr10:uidLastSave="{00000000-0000-0000-0000-000000000000}"/>
  <bookViews>
    <workbookView xWindow="-110" yWindow="-110" windowWidth="19420" windowHeight="11020" xr2:uid="{6F3FD4D7-6224-4400-BE6B-2FD645813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3" i="1" l="1"/>
  <c r="Y4" i="1"/>
  <c r="Y5" i="1"/>
  <c r="Y6" i="1"/>
  <c r="Y7" i="1"/>
  <c r="Y8" i="1"/>
  <c r="Y9" i="1"/>
  <c r="Y2" i="1"/>
  <c r="S3" i="1"/>
  <c r="S4" i="1"/>
  <c r="S5" i="1"/>
  <c r="S6" i="1"/>
  <c r="S7" i="1"/>
  <c r="S8" i="1"/>
  <c r="S9" i="1"/>
  <c r="S2" i="1"/>
  <c r="V3" i="1"/>
  <c r="V4" i="1"/>
  <c r="V5" i="1"/>
  <c r="V6" i="1"/>
  <c r="V7" i="1"/>
  <c r="V8" i="1"/>
  <c r="V9" i="1"/>
  <c r="V2" i="1"/>
  <c r="R3" i="1"/>
  <c r="R4" i="1"/>
  <c r="R5" i="1"/>
  <c r="R6" i="1"/>
  <c r="R7" i="1"/>
  <c r="R8" i="1"/>
  <c r="R9" i="1"/>
  <c r="R2" i="1"/>
  <c r="O3" i="1"/>
  <c r="O4" i="1"/>
  <c r="O5" i="1"/>
  <c r="O6" i="1"/>
  <c r="O7" i="1"/>
  <c r="O8" i="1"/>
  <c r="O9" i="1"/>
  <c r="O2" i="1"/>
  <c r="L3" i="1"/>
  <c r="L4" i="1"/>
  <c r="L5" i="1"/>
  <c r="L6" i="1"/>
  <c r="L7" i="1"/>
  <c r="L8" i="1"/>
  <c r="L9" i="1"/>
  <c r="L2" i="1"/>
  <c r="J3" i="1"/>
  <c r="J4" i="1"/>
  <c r="J5" i="1"/>
  <c r="J6" i="1"/>
  <c r="J7" i="1"/>
  <c r="J8" i="1"/>
  <c r="J9" i="1"/>
  <c r="J2" i="1"/>
  <c r="I3" i="1"/>
  <c r="I4" i="1"/>
  <c r="I5" i="1"/>
  <c r="I6" i="1"/>
  <c r="I7" i="1"/>
  <c r="I8" i="1"/>
  <c r="I9" i="1"/>
  <c r="I2" i="1"/>
  <c r="C18" i="1"/>
  <c r="C17" i="1"/>
  <c r="C2" i="1"/>
  <c r="E3" i="1"/>
  <c r="E4" i="1"/>
  <c r="E5" i="1"/>
  <c r="E6" i="1"/>
  <c r="E7" i="1"/>
  <c r="E8" i="1"/>
  <c r="E9" i="1"/>
  <c r="E10" i="1"/>
  <c r="E2" i="1"/>
  <c r="D3" i="1"/>
  <c r="D4" i="1"/>
  <c r="D5" i="1"/>
  <c r="D6" i="1"/>
  <c r="D7" i="1"/>
  <c r="D8" i="1"/>
  <c r="D9" i="1"/>
  <c r="D10" i="1"/>
  <c r="D2" i="1"/>
  <c r="B2" i="1"/>
  <c r="C3" i="1"/>
  <c r="C4" i="1"/>
  <c r="C5" i="1"/>
  <c r="C6" i="1"/>
  <c r="C7" i="1"/>
  <c r="C8" i="1"/>
  <c r="C9" i="1"/>
  <c r="C10" i="1"/>
  <c r="B3" i="1"/>
  <c r="B4" i="1"/>
  <c r="B5" i="1"/>
  <c r="B6" i="1"/>
  <c r="B7" i="1"/>
  <c r="B8" i="1"/>
  <c r="B9" i="1"/>
  <c r="B10" i="1"/>
</calcChain>
</file>

<file path=xl/sharedStrings.xml><?xml version="1.0" encoding="utf-8"?>
<sst xmlns="http://schemas.openxmlformats.org/spreadsheetml/2006/main" count="44" uniqueCount="37">
  <si>
    <t>Data</t>
  </si>
  <si>
    <t>INT</t>
  </si>
  <si>
    <t>Round</t>
  </si>
  <si>
    <t>Roundup</t>
  </si>
  <si>
    <t>Rounddown</t>
  </si>
  <si>
    <t>Power</t>
  </si>
  <si>
    <t>Power Function</t>
  </si>
  <si>
    <t>^</t>
  </si>
  <si>
    <t>Roman</t>
  </si>
  <si>
    <t>Arabic</t>
  </si>
  <si>
    <t>REPT</t>
  </si>
  <si>
    <t>*</t>
  </si>
  <si>
    <t>SQRT</t>
  </si>
  <si>
    <t>ABS</t>
  </si>
  <si>
    <t>IV</t>
  </si>
  <si>
    <t>VI</t>
  </si>
  <si>
    <t>II</t>
  </si>
  <si>
    <t>VIII</t>
  </si>
  <si>
    <t>V</t>
  </si>
  <si>
    <t>IX</t>
  </si>
  <si>
    <t>VII</t>
  </si>
  <si>
    <t>float into integer</t>
  </si>
  <si>
    <t>*=int(a2)</t>
  </si>
  <si>
    <t>round to near by value</t>
  </si>
  <si>
    <t>roundup means to nearest higest integer</t>
  </si>
  <si>
    <t>roundup means to nearest lowest integer</t>
  </si>
  <si>
    <t>*=round(a2,0)</t>
  </si>
  <si>
    <t>*=roundup(a2,0)</t>
  </si>
  <si>
    <t>*=power(g2,h2)</t>
  </si>
  <si>
    <t>*=g2^h2</t>
  </si>
  <si>
    <t>*=roman(k2)</t>
  </si>
  <si>
    <t>*=arabic(n2)</t>
  </si>
  <si>
    <t>*=rept(q2,5)</t>
  </si>
  <si>
    <t>5=number of times reption</t>
  </si>
  <si>
    <t>*=sqrt(u2)</t>
  </si>
  <si>
    <t>*=abs(x2)</t>
  </si>
  <si>
    <t>*=rept(([s] fn+f4),q2)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</si>
</sst>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8CE0A-F7B2-411B-939A-C383401016F8}">
  <dimension ref="A1:Y18"/>
  <sheetViews>
    <sheetView tabSelected="1" topLeftCell="K1" workbookViewId="0">
      <selection activeCell="O15" sqref="O15"/>
    </sheetView>
  </sheetViews>
  <sheetFormatPr defaultRowHeight="14.5" x14ac:dyDescent="0.35"/>
  <cols>
    <col min="2" max="2" width="14.7265625" bestFit="1" customWidth="1"/>
    <col min="3" max="3" width="19.90625" bestFit="1" customWidth="1"/>
    <col min="4" max="4" width="35.1796875" bestFit="1" customWidth="1"/>
    <col min="5" max="5" width="35.7265625" bestFit="1" customWidth="1"/>
    <col min="9" max="9" width="13.81640625" bestFit="1" customWidth="1"/>
    <col min="12" max="12" width="11.54296875" bestFit="1" customWidth="1"/>
    <col min="15" max="15" width="11.26953125" bestFit="1" customWidth="1"/>
    <col min="18" max="18" width="23.453125" bestFit="1" customWidth="1"/>
    <col min="19" max="19" width="18.453125" bestFit="1" customWidth="1"/>
  </cols>
  <sheetData>
    <row r="1" spans="1:2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0</v>
      </c>
      <c r="H1" t="s">
        <v>5</v>
      </c>
      <c r="I1" t="s">
        <v>6</v>
      </c>
      <c r="J1" t="s">
        <v>7</v>
      </c>
      <c r="K1" t="s">
        <v>0</v>
      </c>
      <c r="L1" t="s">
        <v>8</v>
      </c>
      <c r="N1" t="s">
        <v>0</v>
      </c>
      <c r="O1" t="s">
        <v>9</v>
      </c>
      <c r="Q1" t="s">
        <v>0</v>
      </c>
      <c r="R1" t="s">
        <v>10</v>
      </c>
      <c r="S1" t="s">
        <v>11</v>
      </c>
      <c r="U1" t="s">
        <v>0</v>
      </c>
      <c r="V1" t="s">
        <v>12</v>
      </c>
      <c r="X1" t="s">
        <v>0</v>
      </c>
      <c r="Y1" t="s">
        <v>13</v>
      </c>
    </row>
    <row r="2" spans="1:25" x14ac:dyDescent="0.35">
      <c r="A2">
        <v>5.46</v>
      </c>
      <c r="B2">
        <f>INT(A2)</f>
        <v>5</v>
      </c>
      <c r="C2">
        <f>ROUND(A2,0)</f>
        <v>5</v>
      </c>
      <c r="D2">
        <f>ROUNDUP(A2,0)</f>
        <v>6</v>
      </c>
      <c r="E2">
        <f>ROUNDDOWN(A2,0)</f>
        <v>5</v>
      </c>
      <c r="G2">
        <v>4</v>
      </c>
      <c r="H2">
        <v>2</v>
      </c>
      <c r="I2">
        <f>POWER(G2,H2)</f>
        <v>16</v>
      </c>
      <c r="J2">
        <f>G2^H2</f>
        <v>16</v>
      </c>
      <c r="K2">
        <v>4</v>
      </c>
      <c r="L2" t="str">
        <f>ROMAN(K2)</f>
        <v>IV</v>
      </c>
      <c r="N2" t="s">
        <v>14</v>
      </c>
      <c r="O2">
        <f>_xlfn.ARABIC(N2)</f>
        <v>4</v>
      </c>
      <c r="Q2">
        <v>4</v>
      </c>
      <c r="R2" t="str">
        <f>REPT(Q2,5)</f>
        <v>44444</v>
      </c>
      <c r="S2" t="str">
        <f>REPT($S$1,Q2)</f>
        <v>****</v>
      </c>
      <c r="U2">
        <v>25</v>
      </c>
      <c r="V2">
        <f>SQRT(U2)</f>
        <v>5</v>
      </c>
      <c r="X2">
        <v>-25</v>
      </c>
      <c r="Y2">
        <f>ABS(X2)</f>
        <v>25</v>
      </c>
    </row>
    <row r="3" spans="1:25" x14ac:dyDescent="0.35">
      <c r="A3">
        <v>1.6</v>
      </c>
      <c r="B3">
        <f t="shared" ref="B3:B10" si="0">INT(A3)</f>
        <v>1</v>
      </c>
      <c r="C3">
        <f t="shared" ref="C3:C10" si="1">ROUND(A3,0)</f>
        <v>2</v>
      </c>
      <c r="D3">
        <f t="shared" ref="D3:D10" si="2">ROUNDUP(A3,0)</f>
        <v>2</v>
      </c>
      <c r="E3">
        <f t="shared" ref="E3:E10" si="3">ROUNDDOWN(A3,0)</f>
        <v>1</v>
      </c>
      <c r="G3">
        <v>6</v>
      </c>
      <c r="H3">
        <v>3</v>
      </c>
      <c r="I3">
        <f t="shared" ref="I3:I9" si="4">POWER(G3,H3)</f>
        <v>216</v>
      </c>
      <c r="J3">
        <f t="shared" ref="J3:J9" si="5">G3^H3</f>
        <v>216</v>
      </c>
      <c r="K3">
        <v>6</v>
      </c>
      <c r="L3" t="str">
        <f t="shared" ref="L3:L9" si="6">ROMAN(K3)</f>
        <v>VI</v>
      </c>
      <c r="N3" t="s">
        <v>15</v>
      </c>
      <c r="O3">
        <f t="shared" ref="O3:O9" si="7">_xlfn.ARABIC(N3)</f>
        <v>6</v>
      </c>
      <c r="Q3">
        <v>6</v>
      </c>
      <c r="R3" t="str">
        <f t="shared" ref="R3:R9" si="8">REPT(Q3,5)</f>
        <v>66666</v>
      </c>
      <c r="S3" t="str">
        <f t="shared" ref="S3:S9" si="9">REPT($S$1,Q3)</f>
        <v>******</v>
      </c>
      <c r="U3">
        <v>4</v>
      </c>
      <c r="V3">
        <f t="shared" ref="V3:V9" si="10">SQRT(U3)</f>
        <v>2</v>
      </c>
      <c r="X3">
        <v>-4</v>
      </c>
      <c r="Y3">
        <f t="shared" ref="Y3:Y9" si="11">ABS(X3)</f>
        <v>4</v>
      </c>
    </row>
    <row r="4" spans="1:25" x14ac:dyDescent="0.35">
      <c r="A4">
        <v>5.5</v>
      </c>
      <c r="B4">
        <f t="shared" si="0"/>
        <v>5</v>
      </c>
      <c r="C4">
        <f t="shared" si="1"/>
        <v>6</v>
      </c>
      <c r="D4">
        <f t="shared" si="2"/>
        <v>6</v>
      </c>
      <c r="E4">
        <f t="shared" si="3"/>
        <v>5</v>
      </c>
      <c r="G4">
        <v>2</v>
      </c>
      <c r="H4">
        <v>3</v>
      </c>
      <c r="I4">
        <f t="shared" si="4"/>
        <v>8</v>
      </c>
      <c r="J4">
        <f t="shared" si="5"/>
        <v>8</v>
      </c>
      <c r="K4">
        <v>2</v>
      </c>
      <c r="L4" t="str">
        <f t="shared" si="6"/>
        <v>II</v>
      </c>
      <c r="N4" t="s">
        <v>16</v>
      </c>
      <c r="O4">
        <f t="shared" si="7"/>
        <v>2</v>
      </c>
      <c r="Q4">
        <v>2</v>
      </c>
      <c r="R4" t="str">
        <f t="shared" si="8"/>
        <v>22222</v>
      </c>
      <c r="S4" t="str">
        <f t="shared" si="9"/>
        <v>**</v>
      </c>
      <c r="U4">
        <v>16</v>
      </c>
      <c r="V4">
        <f t="shared" si="10"/>
        <v>4</v>
      </c>
      <c r="X4">
        <v>-16</v>
      </c>
      <c r="Y4">
        <f t="shared" si="11"/>
        <v>16</v>
      </c>
    </row>
    <row r="5" spans="1:25" x14ac:dyDescent="0.35">
      <c r="A5">
        <v>2.8</v>
      </c>
      <c r="B5">
        <f t="shared" si="0"/>
        <v>2</v>
      </c>
      <c r="C5">
        <f t="shared" si="1"/>
        <v>3</v>
      </c>
      <c r="D5">
        <f t="shared" si="2"/>
        <v>3</v>
      </c>
      <c r="E5">
        <f t="shared" si="3"/>
        <v>2</v>
      </c>
      <c r="G5">
        <v>8</v>
      </c>
      <c r="H5">
        <v>2</v>
      </c>
      <c r="I5">
        <f t="shared" si="4"/>
        <v>64</v>
      </c>
      <c r="J5">
        <f t="shared" si="5"/>
        <v>64</v>
      </c>
      <c r="K5">
        <v>8</v>
      </c>
      <c r="L5" t="str">
        <f t="shared" si="6"/>
        <v>VIII</v>
      </c>
      <c r="N5" t="s">
        <v>17</v>
      </c>
      <c r="O5">
        <f t="shared" si="7"/>
        <v>8</v>
      </c>
      <c r="Q5">
        <v>8</v>
      </c>
      <c r="R5" t="str">
        <f t="shared" si="8"/>
        <v>88888</v>
      </c>
      <c r="S5" t="str">
        <f t="shared" si="9"/>
        <v>********</v>
      </c>
      <c r="U5">
        <v>125</v>
      </c>
      <c r="V5">
        <f t="shared" si="10"/>
        <v>11.180339887498949</v>
      </c>
      <c r="X5">
        <v>-125</v>
      </c>
      <c r="Y5">
        <f t="shared" si="11"/>
        <v>125</v>
      </c>
    </row>
    <row r="6" spans="1:25" x14ac:dyDescent="0.35">
      <c r="A6">
        <v>3.4</v>
      </c>
      <c r="B6">
        <f t="shared" si="0"/>
        <v>3</v>
      </c>
      <c r="C6">
        <f t="shared" si="1"/>
        <v>3</v>
      </c>
      <c r="D6">
        <f t="shared" si="2"/>
        <v>4</v>
      </c>
      <c r="E6">
        <f t="shared" si="3"/>
        <v>3</v>
      </c>
      <c r="G6">
        <v>5</v>
      </c>
      <c r="H6">
        <v>2</v>
      </c>
      <c r="I6">
        <f t="shared" si="4"/>
        <v>25</v>
      </c>
      <c r="J6">
        <f t="shared" si="5"/>
        <v>25</v>
      </c>
      <c r="K6">
        <v>5</v>
      </c>
      <c r="L6" t="str">
        <f t="shared" si="6"/>
        <v>V</v>
      </c>
      <c r="N6" t="s">
        <v>18</v>
      </c>
      <c r="O6">
        <f t="shared" si="7"/>
        <v>5</v>
      </c>
      <c r="Q6">
        <v>5</v>
      </c>
      <c r="R6" t="str">
        <f t="shared" si="8"/>
        <v>55555</v>
      </c>
      <c r="S6" t="str">
        <f t="shared" si="9"/>
        <v>*****</v>
      </c>
      <c r="U6">
        <v>625</v>
      </c>
      <c r="V6">
        <f t="shared" si="10"/>
        <v>25</v>
      </c>
      <c r="X6">
        <v>-625</v>
      </c>
      <c r="Y6">
        <f t="shared" si="11"/>
        <v>625</v>
      </c>
    </row>
    <row r="7" spans="1:25" x14ac:dyDescent="0.35">
      <c r="A7">
        <v>5.5</v>
      </c>
      <c r="B7">
        <f t="shared" si="0"/>
        <v>5</v>
      </c>
      <c r="C7">
        <f t="shared" si="1"/>
        <v>6</v>
      </c>
      <c r="D7">
        <f t="shared" si="2"/>
        <v>6</v>
      </c>
      <c r="E7">
        <f t="shared" si="3"/>
        <v>5</v>
      </c>
      <c r="G7">
        <v>9</v>
      </c>
      <c r="H7">
        <v>3</v>
      </c>
      <c r="I7">
        <f t="shared" si="4"/>
        <v>729</v>
      </c>
      <c r="J7">
        <f t="shared" si="5"/>
        <v>729</v>
      </c>
      <c r="K7">
        <v>9</v>
      </c>
      <c r="L7" t="str">
        <f t="shared" si="6"/>
        <v>IX</v>
      </c>
      <c r="N7" t="s">
        <v>19</v>
      </c>
      <c r="O7">
        <f t="shared" si="7"/>
        <v>9</v>
      </c>
      <c r="Q7">
        <v>9</v>
      </c>
      <c r="R7" t="str">
        <f t="shared" si="8"/>
        <v>99999</v>
      </c>
      <c r="S7" t="str">
        <f t="shared" si="9"/>
        <v>*********</v>
      </c>
      <c r="U7">
        <v>81</v>
      </c>
      <c r="V7">
        <f t="shared" si="10"/>
        <v>9</v>
      </c>
      <c r="X7">
        <v>-81</v>
      </c>
      <c r="Y7">
        <f t="shared" si="11"/>
        <v>81</v>
      </c>
    </row>
    <row r="8" spans="1:25" x14ac:dyDescent="0.35">
      <c r="A8">
        <v>6.3</v>
      </c>
      <c r="B8">
        <f t="shared" si="0"/>
        <v>6</v>
      </c>
      <c r="C8">
        <f t="shared" si="1"/>
        <v>6</v>
      </c>
      <c r="D8">
        <f t="shared" si="2"/>
        <v>7</v>
      </c>
      <c r="E8">
        <f t="shared" si="3"/>
        <v>6</v>
      </c>
      <c r="G8">
        <v>2</v>
      </c>
      <c r="H8">
        <v>3</v>
      </c>
      <c r="I8">
        <f t="shared" si="4"/>
        <v>8</v>
      </c>
      <c r="J8">
        <f t="shared" si="5"/>
        <v>8</v>
      </c>
      <c r="K8">
        <v>2</v>
      </c>
      <c r="L8" t="str">
        <f t="shared" si="6"/>
        <v>II</v>
      </c>
      <c r="N8" t="s">
        <v>16</v>
      </c>
      <c r="O8">
        <f t="shared" si="7"/>
        <v>2</v>
      </c>
      <c r="Q8">
        <v>2</v>
      </c>
      <c r="R8" t="str">
        <f t="shared" si="8"/>
        <v>22222</v>
      </c>
      <c r="S8" t="str">
        <f t="shared" si="9"/>
        <v>**</v>
      </c>
      <c r="U8">
        <v>36</v>
      </c>
      <c r="V8">
        <f t="shared" si="10"/>
        <v>6</v>
      </c>
      <c r="X8">
        <v>-36</v>
      </c>
      <c r="Y8">
        <f t="shared" si="11"/>
        <v>36</v>
      </c>
    </row>
    <row r="9" spans="1:25" x14ac:dyDescent="0.35">
      <c r="A9">
        <v>2.8</v>
      </c>
      <c r="B9">
        <f t="shared" si="0"/>
        <v>2</v>
      </c>
      <c r="C9">
        <f t="shared" si="1"/>
        <v>3</v>
      </c>
      <c r="D9">
        <f t="shared" si="2"/>
        <v>3</v>
      </c>
      <c r="E9">
        <f t="shared" si="3"/>
        <v>2</v>
      </c>
      <c r="G9">
        <v>7</v>
      </c>
      <c r="H9">
        <v>2</v>
      </c>
      <c r="I9">
        <f t="shared" si="4"/>
        <v>49</v>
      </c>
      <c r="J9">
        <f t="shared" si="5"/>
        <v>49</v>
      </c>
      <c r="K9">
        <v>7</v>
      </c>
      <c r="L9" t="str">
        <f t="shared" si="6"/>
        <v>VII</v>
      </c>
      <c r="N9" t="s">
        <v>20</v>
      </c>
      <c r="O9">
        <f t="shared" si="7"/>
        <v>7</v>
      </c>
      <c r="Q9">
        <v>7</v>
      </c>
      <c r="R9" t="str">
        <f t="shared" si="8"/>
        <v>77777</v>
      </c>
      <c r="S9" t="str">
        <f t="shared" si="9"/>
        <v>*******</v>
      </c>
      <c r="U9">
        <v>49</v>
      </c>
      <c r="V9">
        <f t="shared" si="10"/>
        <v>7</v>
      </c>
      <c r="X9">
        <v>-49</v>
      </c>
      <c r="Y9">
        <f t="shared" si="11"/>
        <v>49</v>
      </c>
    </row>
    <row r="10" spans="1:25" x14ac:dyDescent="0.35">
      <c r="A10">
        <v>5.2</v>
      </c>
      <c r="B10">
        <f t="shared" si="0"/>
        <v>5</v>
      </c>
      <c r="C10">
        <f t="shared" si="1"/>
        <v>5</v>
      </c>
      <c r="D10">
        <f t="shared" si="2"/>
        <v>6</v>
      </c>
      <c r="E10">
        <f t="shared" si="3"/>
        <v>5</v>
      </c>
    </row>
    <row r="13" spans="1:25" x14ac:dyDescent="0.35">
      <c r="B13" t="s">
        <v>21</v>
      </c>
      <c r="C13" t="s">
        <v>23</v>
      </c>
      <c r="D13" t="s">
        <v>24</v>
      </c>
      <c r="E13" t="s">
        <v>25</v>
      </c>
    </row>
    <row r="14" spans="1:25" x14ac:dyDescent="0.35">
      <c r="B14" t="s">
        <v>22</v>
      </c>
      <c r="C14" t="s">
        <v>26</v>
      </c>
      <c r="D14" t="s">
        <v>27</v>
      </c>
      <c r="I14" t="s">
        <v>28</v>
      </c>
      <c r="J14" t="s">
        <v>29</v>
      </c>
      <c r="L14" t="s">
        <v>30</v>
      </c>
      <c r="O14" t="s">
        <v>31</v>
      </c>
      <c r="R14" t="s">
        <v>32</v>
      </c>
      <c r="S14" t="s">
        <v>36</v>
      </c>
      <c r="V14" t="s">
        <v>34</v>
      </c>
      <c r="Y14" t="s">
        <v>35</v>
      </c>
    </row>
    <row r="15" spans="1:25" x14ac:dyDescent="0.35">
      <c r="R15" t="s">
        <v>33</v>
      </c>
    </row>
    <row r="17" spans="2:3" x14ac:dyDescent="0.35">
      <c r="B17">
        <v>34.368200000000002</v>
      </c>
      <c r="C17">
        <f>ROUND(B17,2)</f>
        <v>34.369999999999997</v>
      </c>
    </row>
    <row r="18" spans="2:3" x14ac:dyDescent="0.35">
      <c r="B18">
        <v>34.273099999999999</v>
      </c>
      <c r="C18">
        <f>ROUND(B18,2)</f>
        <v>34.270000000000003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Varunesh T</dc:creator>
  <cp:lastModifiedBy>Varunesh T</cp:lastModifiedBy>
  <dcterms:created xsi:type="dcterms:W3CDTF">2026-05-08T06:12:45Z</dcterms:created>
  <dcterms:modified xsi:type="dcterms:W3CDTF">2026-05-08T06:30:49Z</dcterms:modified>
</cp:coreProperties>
</file>