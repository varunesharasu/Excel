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Besant\Excel\Project\"/>
    </mc:Choice>
  </mc:AlternateContent>
  <xr:revisionPtr revIDLastSave="0" documentId="13_ncr:1_{797FC07D-0A9E-4D21-8FCD-91028E0B8BA8}" xr6:coauthVersionLast="47" xr6:coauthVersionMax="47" xr10:uidLastSave="{00000000-0000-0000-0000-000000000000}"/>
  <bookViews>
    <workbookView xWindow="-110" yWindow="-110" windowWidth="19420" windowHeight="11020" firstSheet="7" activeTab="8" xr2:uid="{8E757E6A-6F47-42FD-B295-C8127A08C130}"/>
  </bookViews>
  <sheets>
    <sheet name="KPI CARDS" sheetId="3" r:id="rId1"/>
    <sheet name="Monthly Revenue Trend" sheetId="4" r:id="rId2"/>
    <sheet name="Payment Status Chart" sheetId="5" r:id="rId3"/>
    <sheet name="Room-wise Revenue" sheetId="6" r:id="rId4"/>
    <sheet name="Room-wise Bookings" sheetId="7" r:id="rId5"/>
    <sheet name="Guest Capacity Analysis" sheetId="9" r:id="rId6"/>
    <sheet name="Revenue by Payment Status" sheetId="11" r:id="rId7"/>
    <sheet name="Slicers" sheetId="12" r:id="rId8"/>
    <sheet name="Dashboard" sheetId="15" r:id="rId9"/>
    <sheet name="Data" sheetId="1" r:id="rId10"/>
    <sheet name="Dashboard - UI" sheetId="16" r:id="rId11"/>
  </sheets>
  <definedNames>
    <definedName name="Slicer_Guests">#N/A</definedName>
    <definedName name="Slicer_PaymentStatus">#N/A</definedName>
    <definedName name="Slicer_RoomNo">#N/A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alcChain>
</file>

<file path=xl/sharedStrings.xml><?xml version="1.0" encoding="utf-8"?>
<sst xmlns="http://schemas.openxmlformats.org/spreadsheetml/2006/main" count="1323" uniqueCount="936">
  <si>
    <t>BookingID</t>
  </si>
  <si>
    <t>RoomNo</t>
  </si>
  <si>
    <t>GuestName</t>
  </si>
  <si>
    <t>CheckIn</t>
  </si>
  <si>
    <t>CheckOut</t>
  </si>
  <si>
    <t>Guests</t>
  </si>
  <si>
    <t>Phone</t>
  </si>
  <si>
    <t>TotalAmount</t>
  </si>
  <si>
    <t>PaymentStatus</t>
  </si>
  <si>
    <t>BK0001</t>
  </si>
  <si>
    <t>Rahul Sharma</t>
  </si>
  <si>
    <t>05-01-26</t>
  </si>
  <si>
    <t>08-01-26</t>
  </si>
  <si>
    <t>Paid</t>
  </si>
  <si>
    <t>BK0002</t>
  </si>
  <si>
    <t>Priya Patel</t>
  </si>
  <si>
    <t>10-01-26</t>
  </si>
  <si>
    <t>13-01-26</t>
  </si>
  <si>
    <t>Pending</t>
  </si>
  <si>
    <t>BK0003</t>
  </si>
  <si>
    <t>Amit Kumar</t>
  </si>
  <si>
    <t>15-01-26</t>
  </si>
  <si>
    <t>17-01-26</t>
  </si>
  <si>
    <t>BK0004</t>
  </si>
  <si>
    <t>Sneha Reddy</t>
  </si>
  <si>
    <t>20-01-26</t>
  </si>
  <si>
    <t>24-01-26</t>
  </si>
  <si>
    <t>BK0005</t>
  </si>
  <si>
    <t>Vikram Gupta</t>
  </si>
  <si>
    <t>25-01-26</t>
  </si>
  <si>
    <t>28-01-26</t>
  </si>
  <si>
    <t>BK0006</t>
  </si>
  <si>
    <t>Meera Nair</t>
  </si>
  <si>
    <t>01-02-26</t>
  </si>
  <si>
    <t>04-02-26</t>
  </si>
  <si>
    <t>BK0007</t>
  </si>
  <si>
    <t>Aditya Singh</t>
  </si>
  <si>
    <t>05-02-26</t>
  </si>
  <si>
    <t>07-02-26</t>
  </si>
  <si>
    <t>BK0008</t>
  </si>
  <si>
    <t>Kavya Rao</t>
  </si>
  <si>
    <t>10-02-26</t>
  </si>
  <si>
    <t>14-02-26</t>
  </si>
  <si>
    <t>BK0009</t>
  </si>
  <si>
    <t>Rohan Mehta</t>
  </si>
  <si>
    <t>15-02-26</t>
  </si>
  <si>
    <t>18-02-26</t>
  </si>
  <si>
    <t>BK0010</t>
  </si>
  <si>
    <t>Divya Kapoor</t>
  </si>
  <si>
    <t>20-02-26</t>
  </si>
  <si>
    <t>22-02-26</t>
  </si>
  <si>
    <t>BK0011</t>
  </si>
  <si>
    <t>Neha Jain</t>
  </si>
  <si>
    <t>01-03-26</t>
  </si>
  <si>
    <t>04-03-26</t>
  </si>
  <si>
    <t>BK0012</t>
  </si>
  <si>
    <t>Arjun Verma</t>
  </si>
  <si>
    <t>05-03-26</t>
  </si>
  <si>
    <t>09-03-26</t>
  </si>
  <si>
    <t>BK0013</t>
  </si>
  <si>
    <t>Nikhil Das</t>
  </si>
  <si>
    <t>10-03-26</t>
  </si>
  <si>
    <t>12-03-26</t>
  </si>
  <si>
    <t>BK0014</t>
  </si>
  <si>
    <t>Aisha Bhat</t>
  </si>
  <si>
    <t>15-03-26</t>
  </si>
  <si>
    <t>18-03-26</t>
  </si>
  <si>
    <t>BK0015</t>
  </si>
  <si>
    <t>Sanjay Yadav</t>
  </si>
  <si>
    <t>20-03-26</t>
  </si>
  <si>
    <t>23-03-26</t>
  </si>
  <si>
    <t>BK0016</t>
  </si>
  <si>
    <t>Pooja Iyer</t>
  </si>
  <si>
    <t>25-03-26</t>
  </si>
  <si>
    <t>29-03-26</t>
  </si>
  <si>
    <t>BK0017</t>
  </si>
  <si>
    <t>Ishita Rao</t>
  </si>
  <si>
    <t>01-04-26</t>
  </si>
  <si>
    <t>03-04-26</t>
  </si>
  <si>
    <t>BK0018</t>
  </si>
  <si>
    <t>Karthik Sharma</t>
  </si>
  <si>
    <t>05-04-26</t>
  </si>
  <si>
    <t>08-04-26</t>
  </si>
  <si>
    <t>BK0019</t>
  </si>
  <si>
    <t>Ananya Gupta</t>
  </si>
  <si>
    <t>10-04-26</t>
  </si>
  <si>
    <t>14-04-26</t>
  </si>
  <si>
    <t>BK0020</t>
  </si>
  <si>
    <t>Varun Kumar</t>
  </si>
  <si>
    <t>15-04-26</t>
  </si>
  <si>
    <t>18-04-26</t>
  </si>
  <si>
    <t>BK0021</t>
  </si>
  <si>
    <t>Meera Singh</t>
  </si>
  <si>
    <t>20-04-26</t>
  </si>
  <si>
    <t>22-04-26</t>
  </si>
  <si>
    <t>BK0022</t>
  </si>
  <si>
    <t>Rahul Jain</t>
  </si>
  <si>
    <t>25-04-26</t>
  </si>
  <si>
    <t>28-04-26</t>
  </si>
  <si>
    <t>BK0023</t>
  </si>
  <si>
    <t>Divya Patel</t>
  </si>
  <si>
    <t>01-05-26</t>
  </si>
  <si>
    <t>04-05-26</t>
  </si>
  <si>
    <t>BK0024</t>
  </si>
  <si>
    <t>Nikhil Sharma</t>
  </si>
  <si>
    <t>05-05-26</t>
  </si>
  <si>
    <t>07-05-26</t>
  </si>
  <si>
    <t>BK0025</t>
  </si>
  <si>
    <t>Sneha Kapoor</t>
  </si>
  <si>
    <t>10-05-26</t>
  </si>
  <si>
    <t>13-05-26</t>
  </si>
  <si>
    <t>BK0026</t>
  </si>
  <si>
    <t>Amit Verma</t>
  </si>
  <si>
    <t>15-05-26</t>
  </si>
  <si>
    <t>19-05-26</t>
  </si>
  <si>
    <t>BK0027</t>
  </si>
  <si>
    <t>Priya Rao</t>
  </si>
  <si>
    <t>20-05-26</t>
  </si>
  <si>
    <t>23-05-26</t>
  </si>
  <si>
    <t>BK0028</t>
  </si>
  <si>
    <t>Rohan Gupta</t>
  </si>
  <si>
    <t>25-05-26</t>
  </si>
  <si>
    <t>27-05-26</t>
  </si>
  <si>
    <t>BK0029</t>
  </si>
  <si>
    <t>Ananya Nair</t>
  </si>
  <si>
    <t>01-06-26</t>
  </si>
  <si>
    <t>05-06-26</t>
  </si>
  <si>
    <t>BK0030</t>
  </si>
  <si>
    <t>Sanjay Das</t>
  </si>
  <si>
    <t>08-06-26</t>
  </si>
  <si>
    <t>BK0031</t>
  </si>
  <si>
    <t>Kavya Mehta</t>
  </si>
  <si>
    <t>10-06-26</t>
  </si>
  <si>
    <t>12-06-26</t>
  </si>
  <si>
    <t>BK0032</t>
  </si>
  <si>
    <t>Arjun Singh</t>
  </si>
  <si>
    <t>15-06-26</t>
  </si>
  <si>
    <t>20-06-26</t>
  </si>
  <si>
    <t>BK0033</t>
  </si>
  <si>
    <t>Neha Bhat</t>
  </si>
  <si>
    <t>22-06-26</t>
  </si>
  <si>
    <t>BK0034</t>
  </si>
  <si>
    <t>Vikram Iyer</t>
  </si>
  <si>
    <t>25-06-26</t>
  </si>
  <si>
    <t>28-06-26</t>
  </si>
  <si>
    <t>BK0035</t>
  </si>
  <si>
    <t>Pooja Sharma</t>
  </si>
  <si>
    <t>01-07-26</t>
  </si>
  <si>
    <t>03-07-26</t>
  </si>
  <si>
    <t>BK0036</t>
  </si>
  <si>
    <t>Aisha Patel</t>
  </si>
  <si>
    <t>05-07-26</t>
  </si>
  <si>
    <t>08-07-26</t>
  </si>
  <si>
    <t>BK0037</t>
  </si>
  <si>
    <t>Karthik Rao</t>
  </si>
  <si>
    <t>10-07-26</t>
  </si>
  <si>
    <t>14-07-26</t>
  </si>
  <si>
    <t>BK0038</t>
  </si>
  <si>
    <t>Divya Gupta</t>
  </si>
  <si>
    <t>15-07-26</t>
  </si>
  <si>
    <t>18-07-26</t>
  </si>
  <si>
    <t>BK0039</t>
  </si>
  <si>
    <t>Aditya Jain</t>
  </si>
  <si>
    <t>20-07-26</t>
  </si>
  <si>
    <t>23-07-26</t>
  </si>
  <si>
    <t>BK0040</t>
  </si>
  <si>
    <t>Meera Verma</t>
  </si>
  <si>
    <t>25-07-26</t>
  </si>
  <si>
    <t>27-07-26</t>
  </si>
  <si>
    <t>BK0041</t>
  </si>
  <si>
    <t>Rahul Nair</t>
  </si>
  <si>
    <t>01-08-26</t>
  </si>
  <si>
    <t>04-08-26</t>
  </si>
  <si>
    <t>BK0042</t>
  </si>
  <si>
    <t>Sneha Das</t>
  </si>
  <si>
    <t>05-08-26</t>
  </si>
  <si>
    <t>09-08-26</t>
  </si>
  <si>
    <t>BK0043</t>
  </si>
  <si>
    <t>Varun Sharma</t>
  </si>
  <si>
    <t>10-08-26</t>
  </si>
  <si>
    <t>13-08-26</t>
  </si>
  <si>
    <t>BK0044</t>
  </si>
  <si>
    <t>Priya Kapoor</t>
  </si>
  <si>
    <t>15-08-26</t>
  </si>
  <si>
    <t>17-08-26</t>
  </si>
  <si>
    <t>BK0045</t>
  </si>
  <si>
    <t>Nikhil Patel</t>
  </si>
  <si>
    <t>20-08-26</t>
  </si>
  <si>
    <t>22-08-26</t>
  </si>
  <si>
    <t>BK0046</t>
  </si>
  <si>
    <t>Amit Gupta</t>
  </si>
  <si>
    <t>25-08-26</t>
  </si>
  <si>
    <t>29-08-26</t>
  </si>
  <si>
    <t>BK0047</t>
  </si>
  <si>
    <t>Ishita Singh</t>
  </si>
  <si>
    <t>01-09-26</t>
  </si>
  <si>
    <t>05-09-26</t>
  </si>
  <si>
    <t>BK0048</t>
  </si>
  <si>
    <t>Rohan Kumar</t>
  </si>
  <si>
    <t>08-09-26</t>
  </si>
  <si>
    <t>BK0049</t>
  </si>
  <si>
    <t>Ananya Mehta</t>
  </si>
  <si>
    <t>10-09-26</t>
  </si>
  <si>
    <t>12-09-26</t>
  </si>
  <si>
    <t>BK0050</t>
  </si>
  <si>
    <t>Kavya Jain</t>
  </si>
  <si>
    <t>15-09-26</t>
  </si>
  <si>
    <t>19-09-26</t>
  </si>
  <si>
    <t>BK0051</t>
  </si>
  <si>
    <t>Arjun Rao</t>
  </si>
  <si>
    <t>20-09-26</t>
  </si>
  <si>
    <t>23-09-26</t>
  </si>
  <si>
    <t>BK0052</t>
  </si>
  <si>
    <t>Priya Sharma</t>
  </si>
  <si>
    <t>25-09-26</t>
  </si>
  <si>
    <t>28-09-26</t>
  </si>
  <si>
    <t>BK0053</t>
  </si>
  <si>
    <t>Vikram Patel</t>
  </si>
  <si>
    <t>01-10-26</t>
  </si>
  <si>
    <t>04-10-26</t>
  </si>
  <si>
    <t>BK0054</t>
  </si>
  <si>
    <t>Sneha Gupta</t>
  </si>
  <si>
    <t>05-10-26</t>
  </si>
  <si>
    <t>08-10-26</t>
  </si>
  <si>
    <t>BK0055</t>
  </si>
  <si>
    <t>Rohan Singh</t>
  </si>
  <si>
    <t>10-10-26</t>
  </si>
  <si>
    <t>14-10-26</t>
  </si>
  <si>
    <t>BK0056</t>
  </si>
  <si>
    <t>Divya Nair</t>
  </si>
  <si>
    <t>15-10-26</t>
  </si>
  <si>
    <t>18-10-26</t>
  </si>
  <si>
    <t>BK0057</t>
  </si>
  <si>
    <t>Amit Mehta</t>
  </si>
  <si>
    <t>20-10-26</t>
  </si>
  <si>
    <t>22-10-26</t>
  </si>
  <si>
    <t>BK0058</t>
  </si>
  <si>
    <t>25-10-26</t>
  </si>
  <si>
    <t>29-10-26</t>
  </si>
  <si>
    <t>BK0059</t>
  </si>
  <si>
    <t>Aditya Verma</t>
  </si>
  <si>
    <t>01-11-26</t>
  </si>
  <si>
    <t>03-11-26</t>
  </si>
  <si>
    <t>BK0060</t>
  </si>
  <si>
    <t>Neha Kapoor</t>
  </si>
  <si>
    <t>05-11-26</t>
  </si>
  <si>
    <t>09-11-26</t>
  </si>
  <si>
    <t>BK0061</t>
  </si>
  <si>
    <t>Sanjay Kumar</t>
  </si>
  <si>
    <t>10-11-26</t>
  </si>
  <si>
    <t>13-11-26</t>
  </si>
  <si>
    <t>BK0062</t>
  </si>
  <si>
    <t>Ananya Rao</t>
  </si>
  <si>
    <t>15-11-26</t>
  </si>
  <si>
    <t>20-11-26</t>
  </si>
  <si>
    <t>BK0063</t>
  </si>
  <si>
    <t>Rahul Bhat</t>
  </si>
  <si>
    <t>23-11-26</t>
  </si>
  <si>
    <t>BK0064</t>
  </si>
  <si>
    <t>Meera Patel</t>
  </si>
  <si>
    <t>25-11-26</t>
  </si>
  <si>
    <t>27-11-26</t>
  </si>
  <si>
    <t>BK0065</t>
  </si>
  <si>
    <t>01-12-26</t>
  </si>
  <si>
    <t>05-12-26</t>
  </si>
  <si>
    <t>BK0066</t>
  </si>
  <si>
    <t>Pooja Gupta</t>
  </si>
  <si>
    <t>08-12-26</t>
  </si>
  <si>
    <t>BK0067</t>
  </si>
  <si>
    <t>Karthik Das</t>
  </si>
  <si>
    <t>10-12-26</t>
  </si>
  <si>
    <t>12-12-26</t>
  </si>
  <si>
    <t>BK0068</t>
  </si>
  <si>
    <t>Aisha Singh</t>
  </si>
  <si>
    <t>15-12-26</t>
  </si>
  <si>
    <t>18-12-26</t>
  </si>
  <si>
    <t>BK0069</t>
  </si>
  <si>
    <t>Varun Nair</t>
  </si>
  <si>
    <t>20-12-26</t>
  </si>
  <si>
    <t>22-12-26</t>
  </si>
  <si>
    <t>BK0070</t>
  </si>
  <si>
    <t>Sneha Rao</t>
  </si>
  <si>
    <t>25-12-26</t>
  </si>
  <si>
    <t>29-12-26</t>
  </si>
  <si>
    <t>BK0071</t>
  </si>
  <si>
    <t>Amit Jain</t>
  </si>
  <si>
    <t>01-01-27</t>
  </si>
  <si>
    <t>04-01-27</t>
  </si>
  <si>
    <t>BK0072</t>
  </si>
  <si>
    <t>Divya Sharma</t>
  </si>
  <si>
    <t>05-01-27</t>
  </si>
  <si>
    <t>08-01-27</t>
  </si>
  <si>
    <t>BK0073</t>
  </si>
  <si>
    <t>Rohan Patel</t>
  </si>
  <si>
    <t>10-01-27</t>
  </si>
  <si>
    <t>13-01-27</t>
  </si>
  <si>
    <t>BK0074</t>
  </si>
  <si>
    <t>15-01-27</t>
  </si>
  <si>
    <t>17-01-27</t>
  </si>
  <si>
    <t>BK0075</t>
  </si>
  <si>
    <t>Aditya Gupta</t>
  </si>
  <si>
    <t>20-01-27</t>
  </si>
  <si>
    <t>23-01-27</t>
  </si>
  <si>
    <t>BK0076</t>
  </si>
  <si>
    <t>Kavya Verma</t>
  </si>
  <si>
    <t>25-01-27</t>
  </si>
  <si>
    <t>27-01-27</t>
  </si>
  <si>
    <t>BK0077</t>
  </si>
  <si>
    <t>Neha Singh</t>
  </si>
  <si>
    <t>01-02-27</t>
  </si>
  <si>
    <t>05-02-27</t>
  </si>
  <si>
    <t>BK0078</t>
  </si>
  <si>
    <t>Sanjay Mehta</t>
  </si>
  <si>
    <t>09-02-27</t>
  </si>
  <si>
    <t>BK0079</t>
  </si>
  <si>
    <t>Ananya Jain</t>
  </si>
  <si>
    <t>10-02-27</t>
  </si>
  <si>
    <t>14-02-27</t>
  </si>
  <si>
    <t>BK0080</t>
  </si>
  <si>
    <t>Rahul Kumar</t>
  </si>
  <si>
    <t>15-02-27</t>
  </si>
  <si>
    <t>18-02-27</t>
  </si>
  <si>
    <t>BK0081</t>
  </si>
  <si>
    <t>Meera Das</t>
  </si>
  <si>
    <t>20-02-27</t>
  </si>
  <si>
    <t>22-02-27</t>
  </si>
  <si>
    <t>BK0082</t>
  </si>
  <si>
    <t>Nikhil Rao</t>
  </si>
  <si>
    <t>25-02-27</t>
  </si>
  <si>
    <t>28-02-27</t>
  </si>
  <si>
    <t>BK0083</t>
  </si>
  <si>
    <t>Pooja Patel</t>
  </si>
  <si>
    <t>01-03-27</t>
  </si>
  <si>
    <t>04-03-27</t>
  </si>
  <si>
    <t>BK0084</t>
  </si>
  <si>
    <t>05-03-27</t>
  </si>
  <si>
    <t>08-03-27</t>
  </si>
  <si>
    <t>BK0085</t>
  </si>
  <si>
    <t>Aisha Gupta</t>
  </si>
  <si>
    <t>10-03-27</t>
  </si>
  <si>
    <t>13-03-27</t>
  </si>
  <si>
    <t>BK0086</t>
  </si>
  <si>
    <t>Varun Singh</t>
  </si>
  <si>
    <t>15-03-27</t>
  </si>
  <si>
    <t>20-03-27</t>
  </si>
  <si>
    <t>BK0087</t>
  </si>
  <si>
    <t>22-03-27</t>
  </si>
  <si>
    <t>BK0088</t>
  </si>
  <si>
    <t>Amit Nair</t>
  </si>
  <si>
    <t>25-03-27</t>
  </si>
  <si>
    <t>29-03-27</t>
  </si>
  <si>
    <t>BK0089</t>
  </si>
  <si>
    <t>Divya Rao</t>
  </si>
  <si>
    <t>01-04-27</t>
  </si>
  <si>
    <t>03-04-27</t>
  </si>
  <si>
    <t>BK0090</t>
  </si>
  <si>
    <t>Rohan Jain</t>
  </si>
  <si>
    <t>05-04-27</t>
  </si>
  <si>
    <t>08-04-27</t>
  </si>
  <si>
    <t>BK0091</t>
  </si>
  <si>
    <t>Priya Verma</t>
  </si>
  <si>
    <t>10-04-27</t>
  </si>
  <si>
    <t>14-04-27</t>
  </si>
  <si>
    <t>BK0092</t>
  </si>
  <si>
    <t>Aditya Sharma</t>
  </si>
  <si>
    <t>15-04-27</t>
  </si>
  <si>
    <t>18-04-27</t>
  </si>
  <si>
    <t>BK0093</t>
  </si>
  <si>
    <t>Kavya Gupta</t>
  </si>
  <si>
    <t>20-04-27</t>
  </si>
  <si>
    <t>23-04-27</t>
  </si>
  <si>
    <t>BK0094</t>
  </si>
  <si>
    <t>Neha Patel</t>
  </si>
  <si>
    <t>25-04-27</t>
  </si>
  <si>
    <t>27-04-27</t>
  </si>
  <si>
    <t>BK0095</t>
  </si>
  <si>
    <t>Sanjay Singh</t>
  </si>
  <si>
    <t>01-05-27</t>
  </si>
  <si>
    <t>05-05-27</t>
  </si>
  <si>
    <t>BK0096</t>
  </si>
  <si>
    <t>09-05-27</t>
  </si>
  <si>
    <t>BK0097</t>
  </si>
  <si>
    <t>Rahul Kapoor</t>
  </si>
  <si>
    <t>10-05-27</t>
  </si>
  <si>
    <t>12-05-27</t>
  </si>
  <si>
    <t>BK0098</t>
  </si>
  <si>
    <t>Meera Kumar</t>
  </si>
  <si>
    <t>15-05-27</t>
  </si>
  <si>
    <t>18-05-27</t>
  </si>
  <si>
    <t>BK0099</t>
  </si>
  <si>
    <t>Nikhil Jain</t>
  </si>
  <si>
    <t>20-05-27</t>
  </si>
  <si>
    <t>22-05-27</t>
  </si>
  <si>
    <t>BK0100</t>
  </si>
  <si>
    <t>Pooja Das</t>
  </si>
  <si>
    <t>25-05-27</t>
  </si>
  <si>
    <t>29-05-27</t>
  </si>
  <si>
    <t>BK0101</t>
  </si>
  <si>
    <t>Arjun Sharma</t>
  </si>
  <si>
    <t>01-06-27</t>
  </si>
  <si>
    <t>04-06-27</t>
  </si>
  <si>
    <t>BK0102</t>
  </si>
  <si>
    <t>Priya Gupta</t>
  </si>
  <si>
    <t>05-06-27</t>
  </si>
  <si>
    <t>08-06-27</t>
  </si>
  <si>
    <t>BK0103</t>
  </si>
  <si>
    <t>Rahul Patel</t>
  </si>
  <si>
    <t>10-06-27</t>
  </si>
  <si>
    <t>14-06-27</t>
  </si>
  <si>
    <t>BK0104</t>
  </si>
  <si>
    <t>Sneha Singh</t>
  </si>
  <si>
    <t>15-06-27</t>
  </si>
  <si>
    <t>18-06-27</t>
  </si>
  <si>
    <t>BK0105</t>
  </si>
  <si>
    <t>Amit Rao</t>
  </si>
  <si>
    <t>20-06-27</t>
  </si>
  <si>
    <t>22-06-27</t>
  </si>
  <si>
    <t>BK0106</t>
  </si>
  <si>
    <t>25-06-27</t>
  </si>
  <si>
    <t>29-06-27</t>
  </si>
  <si>
    <t>BK0107</t>
  </si>
  <si>
    <t>Nikhil Kumar</t>
  </si>
  <si>
    <t>01-07-27</t>
  </si>
  <si>
    <t>03-07-27</t>
  </si>
  <si>
    <t>BK0108</t>
  </si>
  <si>
    <t>Meera Sharma</t>
  </si>
  <si>
    <t>05-07-27</t>
  </si>
  <si>
    <t>09-07-27</t>
  </si>
  <si>
    <t>BK0109</t>
  </si>
  <si>
    <t>10-07-27</t>
  </si>
  <si>
    <t>13-07-27</t>
  </si>
  <si>
    <t>BK0110</t>
  </si>
  <si>
    <t>15-07-27</t>
  </si>
  <si>
    <t>20-07-27</t>
  </si>
  <si>
    <t>BK0111</t>
  </si>
  <si>
    <t>Rohan Kapoor</t>
  </si>
  <si>
    <t>23-07-27</t>
  </si>
  <si>
    <t>BK0112</t>
  </si>
  <si>
    <t>Ananya Verma</t>
  </si>
  <si>
    <t>25-07-27</t>
  </si>
  <si>
    <t>27-07-27</t>
  </si>
  <si>
    <t>BK0113</t>
  </si>
  <si>
    <t>Sanjay Nair</t>
  </si>
  <si>
    <t>01-08-27</t>
  </si>
  <si>
    <t>05-08-27</t>
  </si>
  <si>
    <t>BK0114</t>
  </si>
  <si>
    <t>Pooja Rao</t>
  </si>
  <si>
    <t>08-08-27</t>
  </si>
  <si>
    <t>BK0115</t>
  </si>
  <si>
    <t>Karthik Singh</t>
  </si>
  <si>
    <t>10-08-27</t>
  </si>
  <si>
    <t>12-08-27</t>
  </si>
  <si>
    <t>BK0116</t>
  </si>
  <si>
    <t>Aisha Mehta</t>
  </si>
  <si>
    <t>15-08-27</t>
  </si>
  <si>
    <t>18-08-27</t>
  </si>
  <si>
    <t>BK0117</t>
  </si>
  <si>
    <t>Varun Jain</t>
  </si>
  <si>
    <t>20-08-27</t>
  </si>
  <si>
    <t>22-08-27</t>
  </si>
  <si>
    <t>BK0118</t>
  </si>
  <si>
    <t>25-08-27</t>
  </si>
  <si>
    <t>29-08-27</t>
  </si>
  <si>
    <t>BK0119</t>
  </si>
  <si>
    <t>Amit Sharma</t>
  </si>
  <si>
    <t>01-09-27</t>
  </si>
  <si>
    <t>04-09-27</t>
  </si>
  <si>
    <t>BK0120</t>
  </si>
  <si>
    <t>05-09-27</t>
  </si>
  <si>
    <t>08-09-27</t>
  </si>
  <si>
    <t>BK0121</t>
  </si>
  <si>
    <t>10-09-27</t>
  </si>
  <si>
    <t>13-09-27</t>
  </si>
  <si>
    <t>BK0122</t>
  </si>
  <si>
    <t>Ananya Kapoor</t>
  </si>
  <si>
    <t>15-09-27</t>
  </si>
  <si>
    <t>17-09-27</t>
  </si>
  <si>
    <t>BK0123</t>
  </si>
  <si>
    <t>Sanjay Verma</t>
  </si>
  <si>
    <t>20-09-27</t>
  </si>
  <si>
    <t>23-09-27</t>
  </si>
  <si>
    <t>BK0124</t>
  </si>
  <si>
    <t>Pooja Nair</t>
  </si>
  <si>
    <t>25-09-27</t>
  </si>
  <si>
    <t>27-09-27</t>
  </si>
  <si>
    <t>BK0125</t>
  </si>
  <si>
    <t>01-10-27</t>
  </si>
  <si>
    <t>05-10-27</t>
  </si>
  <si>
    <t>BK0126</t>
  </si>
  <si>
    <t>09-10-27</t>
  </si>
  <si>
    <t>BK0127</t>
  </si>
  <si>
    <t>Varun Mehta</t>
  </si>
  <si>
    <t>10-10-27</t>
  </si>
  <si>
    <t>14-10-27</t>
  </si>
  <si>
    <t>BK0128</t>
  </si>
  <si>
    <t>Sneha Jain</t>
  </si>
  <si>
    <t>15-10-27</t>
  </si>
  <si>
    <t>18-10-27</t>
  </si>
  <si>
    <t>BK0129</t>
  </si>
  <si>
    <t>Amit Das</t>
  </si>
  <si>
    <t>20-10-27</t>
  </si>
  <si>
    <t>22-10-27</t>
  </si>
  <si>
    <t>BK0130</t>
  </si>
  <si>
    <t>25-10-27</t>
  </si>
  <si>
    <t>29-10-27</t>
  </si>
  <si>
    <t>BK0131</t>
  </si>
  <si>
    <t>01-11-27</t>
  </si>
  <si>
    <t>03-11-27</t>
  </si>
  <si>
    <t>BK0132</t>
  </si>
  <si>
    <t>Ananya Patel</t>
  </si>
  <si>
    <t>05-11-27</t>
  </si>
  <si>
    <t>08-11-27</t>
  </si>
  <si>
    <t>BK0133</t>
  </si>
  <si>
    <t>Sanjay Kapoor</t>
  </si>
  <si>
    <t>10-11-27</t>
  </si>
  <si>
    <t>14-11-27</t>
  </si>
  <si>
    <t>BK0134</t>
  </si>
  <si>
    <t>Pooja Verma</t>
  </si>
  <si>
    <t>15-11-27</t>
  </si>
  <si>
    <t>20-11-27</t>
  </si>
  <si>
    <t>BK0135</t>
  </si>
  <si>
    <t>Karthik Nair</t>
  </si>
  <si>
    <t>23-11-27</t>
  </si>
  <si>
    <t>BK0136</t>
  </si>
  <si>
    <t>Aisha Rao</t>
  </si>
  <si>
    <t>25-11-27</t>
  </si>
  <si>
    <t>27-11-27</t>
  </si>
  <si>
    <t>BK0137</t>
  </si>
  <si>
    <t>01-12-27</t>
  </si>
  <si>
    <t>05-12-27</t>
  </si>
  <si>
    <t>BK0138</t>
  </si>
  <si>
    <t>Sneha Mehta</t>
  </si>
  <si>
    <t>08-12-27</t>
  </si>
  <si>
    <t>BK0139</t>
  </si>
  <si>
    <t>10-12-27</t>
  </si>
  <si>
    <t>13-12-27</t>
  </si>
  <si>
    <t>BK0140</t>
  </si>
  <si>
    <t>Divya Das</t>
  </si>
  <si>
    <t>15-12-27</t>
  </si>
  <si>
    <t>18-12-27</t>
  </si>
  <si>
    <t>BK0141</t>
  </si>
  <si>
    <t>Rohan Sharma</t>
  </si>
  <si>
    <t>20-12-27</t>
  </si>
  <si>
    <t>22-12-27</t>
  </si>
  <si>
    <t>BK0142</t>
  </si>
  <si>
    <t>25-12-27</t>
  </si>
  <si>
    <t>29-12-27</t>
  </si>
  <si>
    <t>BK0143</t>
  </si>
  <si>
    <t>Sanjay Patel</t>
  </si>
  <si>
    <t>01-01-28</t>
  </si>
  <si>
    <t>04-01-28</t>
  </si>
  <si>
    <t>BK0144</t>
  </si>
  <si>
    <t>Pooja Kapoor</t>
  </si>
  <si>
    <t>05-01-28</t>
  </si>
  <si>
    <t>09-01-28</t>
  </si>
  <si>
    <t>BK0145</t>
  </si>
  <si>
    <t>Karthik Verma</t>
  </si>
  <si>
    <t>10-01-28</t>
  </si>
  <si>
    <t>12-01-28</t>
  </si>
  <si>
    <t>BK0146</t>
  </si>
  <si>
    <t>Aisha Nair</t>
  </si>
  <si>
    <t>15-01-28</t>
  </si>
  <si>
    <t>18-01-28</t>
  </si>
  <si>
    <t>BK0147</t>
  </si>
  <si>
    <t>Varun Rao</t>
  </si>
  <si>
    <t>20-01-28</t>
  </si>
  <si>
    <t>23-01-28</t>
  </si>
  <si>
    <t>BK0148</t>
  </si>
  <si>
    <t>25-01-28</t>
  </si>
  <si>
    <t>27-01-28</t>
  </si>
  <si>
    <t>BK0149</t>
  </si>
  <si>
    <t>01-02-28</t>
  </si>
  <si>
    <t>05-02-28</t>
  </si>
  <si>
    <t>BK0150</t>
  </si>
  <si>
    <t>Divya Jain</t>
  </si>
  <si>
    <t>08-02-28</t>
  </si>
  <si>
    <t>BK0151</t>
  </si>
  <si>
    <t>10-02-28</t>
  </si>
  <si>
    <t>13-02-28</t>
  </si>
  <si>
    <t>BK0152</t>
  </si>
  <si>
    <t>15-02-28</t>
  </si>
  <si>
    <t>18-02-28</t>
  </si>
  <si>
    <t>BK0153</t>
  </si>
  <si>
    <t>Nikhil Gupta</t>
  </si>
  <si>
    <t>20-02-28</t>
  </si>
  <si>
    <t>22-02-28</t>
  </si>
  <si>
    <t>BK0154</t>
  </si>
  <si>
    <t>25-02-28</t>
  </si>
  <si>
    <t>29-02-28</t>
  </si>
  <si>
    <t>BK0155</t>
  </si>
  <si>
    <t>Karthik Kapoor</t>
  </si>
  <si>
    <t>01-03-28</t>
  </si>
  <si>
    <t>04-03-28</t>
  </si>
  <si>
    <t>BK0156</t>
  </si>
  <si>
    <t>Aisha Verma</t>
  </si>
  <si>
    <t>05-03-28</t>
  </si>
  <si>
    <t>08-03-28</t>
  </si>
  <si>
    <t>BK0157</t>
  </si>
  <si>
    <t>10-03-28</t>
  </si>
  <si>
    <t>14-03-28</t>
  </si>
  <si>
    <t>BK0158</t>
  </si>
  <si>
    <t>15-03-28</t>
  </si>
  <si>
    <t>20-03-28</t>
  </si>
  <si>
    <t>BK0159</t>
  </si>
  <si>
    <t>23-03-28</t>
  </si>
  <si>
    <t>BK0160</t>
  </si>
  <si>
    <t>25-03-28</t>
  </si>
  <si>
    <t>27-03-28</t>
  </si>
  <si>
    <t>BK0161</t>
  </si>
  <si>
    <t>01-04-28</t>
  </si>
  <si>
    <t>05-04-28</t>
  </si>
  <si>
    <t>BK0162</t>
  </si>
  <si>
    <t>Ananya Singh</t>
  </si>
  <si>
    <t>09-04-28</t>
  </si>
  <si>
    <t>BK0163</t>
  </si>
  <si>
    <t>10-04-28</t>
  </si>
  <si>
    <t>13-04-28</t>
  </si>
  <si>
    <t>BK0164</t>
  </si>
  <si>
    <t>15-04-28</t>
  </si>
  <si>
    <t>18-04-28</t>
  </si>
  <si>
    <t>BK0165</t>
  </si>
  <si>
    <t>Aditya Kumar</t>
  </si>
  <si>
    <t>20-04-28</t>
  </si>
  <si>
    <t>22-04-28</t>
  </si>
  <si>
    <t>BK0166</t>
  </si>
  <si>
    <t>Kavya Nair</t>
  </si>
  <si>
    <t>25-04-28</t>
  </si>
  <si>
    <t>29-04-28</t>
  </si>
  <si>
    <t>BK0167</t>
  </si>
  <si>
    <t>Neha Sharma</t>
  </si>
  <si>
    <t>01-05-28</t>
  </si>
  <si>
    <t>04-05-28</t>
  </si>
  <si>
    <t>BK0168</t>
  </si>
  <si>
    <t>Rahul Gupta</t>
  </si>
  <si>
    <t>05-05-28</t>
  </si>
  <si>
    <t>08-05-28</t>
  </si>
  <si>
    <t>BK0169</t>
  </si>
  <si>
    <t>10-05-28</t>
  </si>
  <si>
    <t>12-05-28</t>
  </si>
  <si>
    <t>BK0170</t>
  </si>
  <si>
    <t>Nikhil Kapoor</t>
  </si>
  <si>
    <t>15-05-28</t>
  </si>
  <si>
    <t>18-05-28</t>
  </si>
  <si>
    <t>BK0171</t>
  </si>
  <si>
    <t>20-05-28</t>
  </si>
  <si>
    <t>23-05-28</t>
  </si>
  <si>
    <t>BK0172</t>
  </si>
  <si>
    <t>Karthik Jain</t>
  </si>
  <si>
    <t>25-05-28</t>
  </si>
  <si>
    <t>27-05-28</t>
  </si>
  <si>
    <t>BK0173</t>
  </si>
  <si>
    <t>Aisha Das</t>
  </si>
  <si>
    <t>01-06-28</t>
  </si>
  <si>
    <t>05-06-28</t>
  </si>
  <si>
    <t>BK0174</t>
  </si>
  <si>
    <t>08-06-28</t>
  </si>
  <si>
    <t>BK0175</t>
  </si>
  <si>
    <t>10-06-28</t>
  </si>
  <si>
    <t>13-06-28</t>
  </si>
  <si>
    <t>BK0176</t>
  </si>
  <si>
    <t>Amit Patel</t>
  </si>
  <si>
    <t>15-06-28</t>
  </si>
  <si>
    <t>20-06-28</t>
  </si>
  <si>
    <t>BK0177</t>
  </si>
  <si>
    <t>Divya Singh</t>
  </si>
  <si>
    <t>22-06-28</t>
  </si>
  <si>
    <t>BK0178</t>
  </si>
  <si>
    <t>25-06-28</t>
  </si>
  <si>
    <t>29-06-28</t>
  </si>
  <si>
    <t>BK0179</t>
  </si>
  <si>
    <t>01-07-28</t>
  </si>
  <si>
    <t>03-07-28</t>
  </si>
  <si>
    <t>BK0180</t>
  </si>
  <si>
    <t>05-07-28</t>
  </si>
  <si>
    <t>08-07-28</t>
  </si>
  <si>
    <t>BK0181</t>
  </si>
  <si>
    <t>Priya Nair</t>
  </si>
  <si>
    <t>10-07-28</t>
  </si>
  <si>
    <t>14-07-28</t>
  </si>
  <si>
    <t>BK0182</t>
  </si>
  <si>
    <t>15-07-28</t>
  </si>
  <si>
    <t>18-07-28</t>
  </si>
  <si>
    <t>BK0183</t>
  </si>
  <si>
    <t>20-07-28</t>
  </si>
  <si>
    <t>23-07-28</t>
  </si>
  <si>
    <t>BK0184</t>
  </si>
  <si>
    <t>25-07-28</t>
  </si>
  <si>
    <t>27-07-28</t>
  </si>
  <si>
    <t>BK0185</t>
  </si>
  <si>
    <t>Rahul Singh</t>
  </si>
  <si>
    <t>01-08-28</t>
  </si>
  <si>
    <t>05-08-28</t>
  </si>
  <si>
    <t>BK0186</t>
  </si>
  <si>
    <t>Meera Mehta</t>
  </si>
  <si>
    <t>09-08-28</t>
  </si>
  <si>
    <t>BK0187</t>
  </si>
  <si>
    <t>10-08-28</t>
  </si>
  <si>
    <t>12-08-28</t>
  </si>
  <si>
    <t>BK0188</t>
  </si>
  <si>
    <t>Pooja Kumar</t>
  </si>
  <si>
    <t>15-08-28</t>
  </si>
  <si>
    <t>18-08-28</t>
  </si>
  <si>
    <t>BK0189</t>
  </si>
  <si>
    <t>20-08-28</t>
  </si>
  <si>
    <t>22-08-28</t>
  </si>
  <si>
    <t>BK0190</t>
  </si>
  <si>
    <t>Aisha Sharma</t>
  </si>
  <si>
    <t>25-08-28</t>
  </si>
  <si>
    <t>29-08-28</t>
  </si>
  <si>
    <t>BK0191</t>
  </si>
  <si>
    <t>Varun Gupta</t>
  </si>
  <si>
    <t>01-09-28</t>
  </si>
  <si>
    <t>04-09-28</t>
  </si>
  <si>
    <t>BK0192</t>
  </si>
  <si>
    <t>Sneha Patel</t>
  </si>
  <si>
    <t>05-09-28</t>
  </si>
  <si>
    <t>08-09-28</t>
  </si>
  <si>
    <t>BK0193</t>
  </si>
  <si>
    <t>Amit Singh</t>
  </si>
  <si>
    <t>10-09-28</t>
  </si>
  <si>
    <t>13-09-28</t>
  </si>
  <si>
    <t>BK0194</t>
  </si>
  <si>
    <t>Divya Mehta</t>
  </si>
  <si>
    <t>15-09-28</t>
  </si>
  <si>
    <t>18-09-28</t>
  </si>
  <si>
    <t>BK0195</t>
  </si>
  <si>
    <t>Rohan Rao</t>
  </si>
  <si>
    <t>20-09-28</t>
  </si>
  <si>
    <t>22-09-28</t>
  </si>
  <si>
    <t>BK0196</t>
  </si>
  <si>
    <t>Ananya Kumar</t>
  </si>
  <si>
    <t>25-09-28</t>
  </si>
  <si>
    <t>29-09-28</t>
  </si>
  <si>
    <t>BK0197</t>
  </si>
  <si>
    <t>01-10-28</t>
  </si>
  <si>
    <t>05-10-28</t>
  </si>
  <si>
    <t>BK0198</t>
  </si>
  <si>
    <t>08-10-28</t>
  </si>
  <si>
    <t>BK0199</t>
  </si>
  <si>
    <t>10-10-28</t>
  </si>
  <si>
    <t>14-10-28</t>
  </si>
  <si>
    <t>BK0200</t>
  </si>
  <si>
    <t>Kavya Patel</t>
  </si>
  <si>
    <t>15-10-28</t>
  </si>
  <si>
    <t>18-10-28</t>
  </si>
  <si>
    <t>BK0201</t>
  </si>
  <si>
    <t>20-10-28</t>
  </si>
  <si>
    <t>23-10-28</t>
  </si>
  <si>
    <t>BK0202</t>
  </si>
  <si>
    <t>25-10-28</t>
  </si>
  <si>
    <t>27-10-28</t>
  </si>
  <si>
    <t>BK0203</t>
  </si>
  <si>
    <t>Meera Gupta</t>
  </si>
  <si>
    <t>01-11-28</t>
  </si>
  <si>
    <t>05-11-28</t>
  </si>
  <si>
    <t>BK0204</t>
  </si>
  <si>
    <t>08-11-28</t>
  </si>
  <si>
    <t>BK0205</t>
  </si>
  <si>
    <t>Pooja Singh</t>
  </si>
  <si>
    <t>10-11-28</t>
  </si>
  <si>
    <t>13-11-28</t>
  </si>
  <si>
    <t>BK0206</t>
  </si>
  <si>
    <t>Karthik Mehta</t>
  </si>
  <si>
    <t>15-11-28</t>
  </si>
  <si>
    <t>20-11-28</t>
  </si>
  <si>
    <t>BK0207</t>
  </si>
  <si>
    <t>22-11-28</t>
  </si>
  <si>
    <t>BK0208</t>
  </si>
  <si>
    <t>25-11-28</t>
  </si>
  <si>
    <t>29-11-28</t>
  </si>
  <si>
    <t>BK0209</t>
  </si>
  <si>
    <t>Sneha Nair</t>
  </si>
  <si>
    <t>01-12-28</t>
  </si>
  <si>
    <t>04-12-28</t>
  </si>
  <si>
    <t>BK0210</t>
  </si>
  <si>
    <t>05-12-28</t>
  </si>
  <si>
    <t>08-12-28</t>
  </si>
  <si>
    <t>BK0211</t>
  </si>
  <si>
    <t>10-12-28</t>
  </si>
  <si>
    <t>14-12-28</t>
  </si>
  <si>
    <t>BK0212</t>
  </si>
  <si>
    <t>15-12-28</t>
  </si>
  <si>
    <t>18-12-28</t>
  </si>
  <si>
    <t>BK0213</t>
  </si>
  <si>
    <t>20-12-28</t>
  </si>
  <si>
    <t>23-12-28</t>
  </si>
  <si>
    <t>BK0214</t>
  </si>
  <si>
    <t>25-12-28</t>
  </si>
  <si>
    <t>27-12-28</t>
  </si>
  <si>
    <t>BK0215</t>
  </si>
  <si>
    <t>01-01-29</t>
  </si>
  <si>
    <t>05-01-29</t>
  </si>
  <si>
    <t>BK0216</t>
  </si>
  <si>
    <t>09-01-29</t>
  </si>
  <si>
    <t>BK0217</t>
  </si>
  <si>
    <t>10-01-29</t>
  </si>
  <si>
    <t>12-01-29</t>
  </si>
  <si>
    <t>BK0218</t>
  </si>
  <si>
    <t>15-01-29</t>
  </si>
  <si>
    <t>18-01-29</t>
  </si>
  <si>
    <t>BK0219</t>
  </si>
  <si>
    <t>20-01-29</t>
  </si>
  <si>
    <t>22-01-29</t>
  </si>
  <si>
    <t>BK0220</t>
  </si>
  <si>
    <t>25-01-29</t>
  </si>
  <si>
    <t>29-01-29</t>
  </si>
  <si>
    <t>BK0221</t>
  </si>
  <si>
    <t>Nikhil Singh</t>
  </si>
  <si>
    <t>01-02-29</t>
  </si>
  <si>
    <t>04-02-29</t>
  </si>
  <si>
    <t>BK0222</t>
  </si>
  <si>
    <t>Pooja Mehta</t>
  </si>
  <si>
    <t>05-02-29</t>
  </si>
  <si>
    <t>08-02-29</t>
  </si>
  <si>
    <t>BK0223</t>
  </si>
  <si>
    <t>10-02-29</t>
  </si>
  <si>
    <t>13-02-29</t>
  </si>
  <si>
    <t>BK0224</t>
  </si>
  <si>
    <t>Aisha Kumar</t>
  </si>
  <si>
    <t>15-02-29</t>
  </si>
  <si>
    <t>20-02-29</t>
  </si>
  <si>
    <t>BK0225</t>
  </si>
  <si>
    <t>22-02-29</t>
  </si>
  <si>
    <t>BK0226</t>
  </si>
  <si>
    <t>Sneha Sharma</t>
  </si>
  <si>
    <t>25-02-29</t>
  </si>
  <si>
    <t>01-03-29</t>
  </si>
  <si>
    <t>BK0227</t>
  </si>
  <si>
    <t>05-03-29</t>
  </si>
  <si>
    <t>BK0228</t>
  </si>
  <si>
    <t>08-03-29</t>
  </si>
  <si>
    <t>BK0229</t>
  </si>
  <si>
    <t>10-03-29</t>
  </si>
  <si>
    <t>14-03-29</t>
  </si>
  <si>
    <t>BK0230</t>
  </si>
  <si>
    <t>15-03-29</t>
  </si>
  <si>
    <t>18-03-29</t>
  </si>
  <si>
    <t>BK0231</t>
  </si>
  <si>
    <t>Sanjay Rao</t>
  </si>
  <si>
    <t>20-03-29</t>
  </si>
  <si>
    <t>23-03-29</t>
  </si>
  <si>
    <t>BK0232</t>
  </si>
  <si>
    <t>Priya Kumar</t>
  </si>
  <si>
    <t>25-03-29</t>
  </si>
  <si>
    <t>27-03-29</t>
  </si>
  <si>
    <t>BK0233</t>
  </si>
  <si>
    <t>Aditya Nair</t>
  </si>
  <si>
    <t>01-04-29</t>
  </si>
  <si>
    <t>04-04-29</t>
  </si>
  <si>
    <t>BK0234</t>
  </si>
  <si>
    <t>Kavya Sharma</t>
  </si>
  <si>
    <t>05-04-29</t>
  </si>
  <si>
    <t>09-04-29</t>
  </si>
  <si>
    <t>BK0235</t>
  </si>
  <si>
    <t>Neha Gupta</t>
  </si>
  <si>
    <t>10-04-29</t>
  </si>
  <si>
    <t>12-04-29</t>
  </si>
  <si>
    <t>BK0236</t>
  </si>
  <si>
    <t>15-04-29</t>
  </si>
  <si>
    <t>18-04-29</t>
  </si>
  <si>
    <t>BK0237</t>
  </si>
  <si>
    <t>20-04-29</t>
  </si>
  <si>
    <t>22-04-29</t>
  </si>
  <si>
    <t>BK0238</t>
  </si>
  <si>
    <t>Nikhil Mehta</t>
  </si>
  <si>
    <t>25-04-29</t>
  </si>
  <si>
    <t>29-04-29</t>
  </si>
  <si>
    <t>BK0239</t>
  </si>
  <si>
    <t>01-05-29</t>
  </si>
  <si>
    <t>05-05-29</t>
  </si>
  <si>
    <t>BK0240</t>
  </si>
  <si>
    <t>Karthik Kumar</t>
  </si>
  <si>
    <t>08-05-29</t>
  </si>
  <si>
    <t>BK0241</t>
  </si>
  <si>
    <t>10-05-29</t>
  </si>
  <si>
    <t>13-05-29</t>
  </si>
  <si>
    <t>BK0242</t>
  </si>
  <si>
    <t>15-05-29</t>
  </si>
  <si>
    <t>20-05-29</t>
  </si>
  <si>
    <t>BK0243</t>
  </si>
  <si>
    <t>22-05-29</t>
  </si>
  <si>
    <t>BK0244</t>
  </si>
  <si>
    <t>25-05-29</t>
  </si>
  <si>
    <t>29-05-29</t>
  </si>
  <si>
    <t>BK0245</t>
  </si>
  <si>
    <t>01-06-29</t>
  </si>
  <si>
    <t>04-06-29</t>
  </si>
  <si>
    <t>BK0246</t>
  </si>
  <si>
    <t>05-06-29</t>
  </si>
  <si>
    <t>08-06-29</t>
  </si>
  <si>
    <t>BK0247</t>
  </si>
  <si>
    <t>10-06-29</t>
  </si>
  <si>
    <t>14-06-29</t>
  </si>
  <si>
    <t>BK0248</t>
  </si>
  <si>
    <t>15-06-29</t>
  </si>
  <si>
    <t>18-06-29</t>
  </si>
  <si>
    <t>BK0249</t>
  </si>
  <si>
    <t>20-06-29</t>
  </si>
  <si>
    <t>23-06-29</t>
  </si>
  <si>
    <t>BK0250</t>
  </si>
  <si>
    <t>25-06-29</t>
  </si>
  <si>
    <t>27-06-29</t>
  </si>
  <si>
    <t>Stay Duration</t>
  </si>
  <si>
    <t>Year</t>
  </si>
  <si>
    <t>Month</t>
  </si>
  <si>
    <t>Month Number</t>
  </si>
  <si>
    <t>Quarter</t>
  </si>
  <si>
    <t>Sum of TotalAmount</t>
  </si>
  <si>
    <t>Count of BookingID</t>
  </si>
  <si>
    <t>Average of TotalAmount</t>
  </si>
  <si>
    <t>Row Labels</t>
  </si>
  <si>
    <t>Grand Total</t>
  </si>
  <si>
    <t>Average of Stay Duration</t>
  </si>
  <si>
    <t>KPI 1 Total Revenue</t>
  </si>
  <si>
    <t>KPI 2 Total Bookings</t>
  </si>
  <si>
    <t>KPI 3 Average Booking Value</t>
  </si>
  <si>
    <t>KPI 4 Paid Bookings</t>
  </si>
  <si>
    <t>KPI 6 Average Stay</t>
  </si>
  <si>
    <t>Jan</t>
  </si>
  <si>
    <t>Feb</t>
  </si>
  <si>
    <t>Mar</t>
  </si>
  <si>
    <t>Apr</t>
  </si>
  <si>
    <t>May</t>
  </si>
  <si>
    <t>Jun</t>
  </si>
  <si>
    <t>Jul</t>
  </si>
  <si>
    <t>Aug</t>
  </si>
  <si>
    <t>Sep</t>
  </si>
  <si>
    <t>Oct</t>
  </si>
  <si>
    <t>Nov</t>
  </si>
  <si>
    <t>Dec</t>
  </si>
  <si>
    <t>HOTEL BOOKING DASHBOARD</t>
  </si>
  <si>
    <t>Revenue</t>
  </si>
  <si>
    <t>No. of Booking</t>
  </si>
  <si>
    <t>Avg Stay</t>
  </si>
  <si>
    <t>Paid %</t>
  </si>
  <si>
    <t>Total No. of Guests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</si>
</sst>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x14ac:knownFonts="1">
    <font>
      <sz val="11"/>
      <color theme="1"/>
      <name val="Tw Cen MT"/>
      <family val="2"/>
      <scheme val="minor"/>
    </font>
    <font>
      <sz val="11"/>
      <color theme="1"/>
      <name val="Times New Roman"/>
      <family val="1"/>
    </font>
    <font>
      <b/>
      <sz val="36"/>
      <color theme="1"/>
      <name val="Tw Cen MT"/>
      <family val="2"/>
      <scheme val="minor"/>
    </font>
    <font>
      <sz val="11"/>
      <color theme="1"/>
      <name val="Tw Cen MT"/>
      <family val="2"/>
      <scheme val="minor"/>
    </font>
    <font>
      <b/>
      <sz val="18"/>
      <color theme="1"/>
      <name val="Tw Cen MT"/>
      <family val="2"/>
      <scheme val="minor"/>
    </font>
    <font>
      <b/>
      <sz val="18"/>
      <color theme="7" tint="-0.499984740745262"/>
      <name val="Tw Cen MT"/>
      <family val="2"/>
      <scheme val="minor"/>
    </font>
    <font>
      <b/>
      <sz val="18"/>
      <color rgb="FF7030A0"/>
      <name val="Tw Cen MT"/>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5"/>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 fillId="3" borderId="0" applyNumberFormat="0" applyBorder="0" applyAlignment="0" applyProtection="0"/>
  </cellStyleXfs>
  <cellXfs count="28">
    <xf numFmtId="0" fontId="0" fillId="0" borderId="0" xfId="0"/>
    <xf numFmtId="0" fontId="1" fillId="2" borderId="1" xfId="0" applyFont="1" applyFill="1" applyBorder="1"/>
    <xf numFmtId="0" fontId="1" fillId="2" borderId="2" xfId="0" applyFont="1" applyFill="1" applyBorder="1"/>
    <xf numFmtId="49" fontId="1" fillId="2" borderId="2" xfId="0" applyNumberFormat="1" applyFont="1" applyFill="1" applyBorder="1"/>
    <xf numFmtId="0" fontId="1" fillId="2" borderId="3" xfId="0" applyFont="1" applyFill="1" applyBorder="1"/>
    <xf numFmtId="0" fontId="1" fillId="0" borderId="1" xfId="0" applyFont="1" applyBorder="1"/>
    <xf numFmtId="0" fontId="1" fillId="0" borderId="2" xfId="0" applyFont="1" applyBorder="1"/>
    <xf numFmtId="49" fontId="1" fillId="0" borderId="2" xfId="0" applyNumberFormat="1" applyFont="1" applyBorder="1"/>
    <xf numFmtId="0" fontId="1" fillId="0" borderId="3" xfId="0" applyFont="1" applyBorder="1"/>
    <xf numFmtId="0" fontId="1" fillId="0" borderId="4" xfId="0" applyFont="1" applyBorder="1"/>
    <xf numFmtId="0" fontId="1" fillId="0" borderId="5" xfId="0" applyFont="1" applyBorder="1"/>
    <xf numFmtId="49" fontId="1" fillId="0" borderId="5" xfId="0" applyNumberFormat="1" applyFont="1" applyBorder="1"/>
    <xf numFmtId="0" fontId="1" fillId="0" borderId="6" xfId="0" applyFont="1" applyBorder="1"/>
    <xf numFmtId="0" fontId="1" fillId="0" borderId="7" xfId="0" applyFont="1" applyBorder="1"/>
    <xf numFmtId="0" fontId="1" fillId="0" borderId="0" xfId="0" applyFont="1"/>
    <xf numFmtId="44"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3" borderId="0" xfId="1"/>
    <xf numFmtId="0" fontId="4" fillId="3" borderId="0" xfId="1" applyFont="1" applyAlignment="1"/>
    <xf numFmtId="0" fontId="4" fillId="3" borderId="0" xfId="1" applyFont="1"/>
    <xf numFmtId="0" fontId="6" fillId="0" borderId="8" xfId="0" applyFont="1" applyBorder="1" applyAlignment="1">
      <alignment horizontal="center" vertical="center"/>
    </xf>
    <xf numFmtId="44" fontId="5" fillId="0" borderId="8" xfId="0" applyNumberFormat="1" applyFont="1" applyBorder="1" applyAlignment="1">
      <alignment horizontal="center"/>
    </xf>
    <xf numFmtId="0" fontId="6" fillId="0" borderId="8" xfId="0" applyFont="1" applyBorder="1" applyAlignment="1">
      <alignment horizontal="center"/>
    </xf>
    <xf numFmtId="0" fontId="5" fillId="0" borderId="8" xfId="0" applyFont="1" applyBorder="1" applyAlignment="1">
      <alignment horizontal="center"/>
    </xf>
    <xf numFmtId="0" fontId="2" fillId="3" borderId="0" xfId="1" applyFont="1" applyAlignment="1">
      <alignment horizontal="center"/>
    </xf>
    <xf numFmtId="0" fontId="3" fillId="3" borderId="0" xfId="1" applyAlignment="1">
      <alignment horizontal="center"/>
    </xf>
  </cellXfs>
  <cellStyles count="2">
    <cellStyle name="40% - Accent1" xfId="1" builtinId="31"/>
    <cellStyle name="Normal" xfId="0" builtinId="0"/>
  </cellStyles>
  <dxfs count="98">
    <dxf>
      <font>
        <b val="0"/>
        <i val="0"/>
        <strike val="0"/>
        <condense val="0"/>
        <extend val="0"/>
        <outline val="0"/>
        <shadow val="0"/>
        <u val="none"/>
        <vertAlign val="baseline"/>
        <sz val="11"/>
        <color theme="1"/>
        <name val="Times New Roman"/>
        <family val="1"/>
        <scheme val="none"/>
      </font>
      <numFmt numFmtId="0" formatCode="General"/>
    </dxf>
    <dxf>
      <font>
        <b val="0"/>
        <i val="0"/>
        <strike val="0"/>
        <condense val="0"/>
        <extend val="0"/>
        <outline val="0"/>
        <shadow val="0"/>
        <u val="none"/>
        <vertAlign val="baseline"/>
        <sz val="11"/>
        <color theme="1"/>
        <name val="Times New Roman"/>
        <family val="1"/>
        <scheme val="none"/>
      </font>
      <numFmt numFmtId="0" formatCode="General"/>
    </dxf>
    <dxf>
      <font>
        <b val="0"/>
        <i val="0"/>
        <strike val="0"/>
        <condense val="0"/>
        <extend val="0"/>
        <outline val="0"/>
        <shadow val="0"/>
        <u val="none"/>
        <vertAlign val="baseline"/>
        <sz val="11"/>
        <color theme="1"/>
        <name val="Times New Roman"/>
        <family val="1"/>
        <scheme val="none"/>
      </font>
      <numFmt numFmtId="0" formatCode="General"/>
    </dxf>
    <dxf>
      <font>
        <b val="0"/>
        <i val="0"/>
        <strike val="0"/>
        <condense val="0"/>
        <extend val="0"/>
        <outline val="0"/>
        <shadow val="0"/>
        <u val="none"/>
        <vertAlign val="baseline"/>
        <sz val="11"/>
        <color theme="1"/>
        <name val="Times New Roman"/>
        <family val="1"/>
        <scheme val="none"/>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Times New Roman"/>
        <family val="1"/>
        <scheme val="none"/>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Times New Roman"/>
        <family val="1"/>
        <scheme val="none"/>
      </font>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Times New Roman"/>
        <family val="1"/>
        <scheme val="none"/>
      </font>
      <numFmt numFmtId="30" formatCode="@"/>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Times New Roman"/>
        <family val="1"/>
        <scheme val="none"/>
      </font>
      <numFmt numFmtId="30" formatCode="@"/>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Times New Roman"/>
        <family val="1"/>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Times New Roman"/>
        <family val="1"/>
        <scheme val="none"/>
      </font>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Times New Roman"/>
        <family val="1"/>
        <scheme val="none"/>
      </font>
    </dxf>
    <dxf>
      <font>
        <sz val="18"/>
      </font>
    </dxf>
    <dxf>
      <font>
        <b/>
      </font>
    </dxf>
    <dxf>
      <font>
        <b/>
      </font>
    </dxf>
    <dxf>
      <font>
        <sz val="18"/>
      </font>
    </dxf>
    <dxf>
      <font>
        <color rgb="FF7030A0"/>
      </font>
    </dxf>
    <dxf>
      <font>
        <color theme="7" tint="-0.499984740745262"/>
      </font>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8"/>
      </font>
    </dxf>
    <dxf>
      <numFmt numFmtId="0" formatCode="General"/>
    </dxf>
    <dxf>
      <font>
        <sz val="18"/>
      </font>
    </dxf>
    <dxf>
      <font>
        <b/>
      </font>
    </dxf>
    <dxf>
      <font>
        <b/>
      </font>
    </dxf>
    <dxf>
      <font>
        <sz val="18"/>
      </font>
    </dxf>
    <dxf>
      <font>
        <color rgb="FF7030A0"/>
      </font>
    </dxf>
    <dxf>
      <font>
        <color theme="7" tint="-0.499984740745262"/>
      </font>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8"/>
      </font>
    </dxf>
    <dxf>
      <numFmt numFmtId="0" formatCode="General"/>
    </dxf>
    <dxf>
      <font>
        <sz val="18"/>
      </font>
    </dxf>
    <dxf>
      <font>
        <b/>
      </font>
    </dxf>
    <dxf>
      <font>
        <b/>
      </font>
    </dxf>
    <dxf>
      <font>
        <sz val="18"/>
      </font>
    </dxf>
    <dxf>
      <font>
        <color rgb="FF7030A0"/>
      </font>
    </dxf>
    <dxf>
      <font>
        <color theme="7" tint="-0.499984740745262"/>
      </font>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8"/>
      </font>
    </dxf>
    <dxf>
      <numFmt numFmtId="0" formatCode="General"/>
    </dxf>
    <dxf>
      <font>
        <sz val="18"/>
      </font>
    </dxf>
    <dxf>
      <font>
        <b/>
      </font>
    </dxf>
    <dxf>
      <font>
        <b/>
      </font>
    </dxf>
    <dxf>
      <font>
        <sz val="18"/>
      </font>
    </dxf>
    <dxf>
      <font>
        <color rgb="FF7030A0"/>
      </font>
    </dxf>
    <dxf>
      <font>
        <color theme="7" tint="-0.499984740745262"/>
      </font>
    </dxf>
    <dxf>
      <numFmt numFmtId="34" formatCode="_(&quot;₹&quot;* #,##0.00_);_(&quot;₹&quot;* \(#,##0.00\);_(&quot;₹&quot;* &quot;-&quot;??_);_(@_)"/>
    </dxf>
    <dxf>
      <alignment horizontal="center"/>
    </dxf>
    <dxf>
      <alignment vertical="bottom"/>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8"/>
      </font>
    </dxf>
    <dxf>
      <numFmt numFmtId="34" formatCode="_(&quot;₹&quot;* #,##0.00_);_(&quot;₹&quot;* \(#,##0.00\);_(&quot;₹&quot;* &quot;-&quot;??_);_(@_)"/>
    </dxf>
    <dxf>
      <font>
        <sz val="18"/>
      </font>
    </dxf>
    <dxf>
      <font>
        <b/>
      </font>
    </dxf>
    <dxf>
      <font>
        <b/>
      </font>
    </dxf>
    <dxf>
      <font>
        <sz val="18"/>
      </font>
    </dxf>
    <dxf>
      <font>
        <color rgb="FF7030A0"/>
      </font>
    </dxf>
    <dxf>
      <font>
        <color theme="7" tint="-0.499984740745262"/>
      </font>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8"/>
      </font>
    </dxf>
    <dxf>
      <numFmt numFmtId="0" formatCode="General"/>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s>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Dashboard.xlsx]Monthly Revenue Trend!PivotTable6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 Trend'!$B$4:$B$16</c:f>
              <c:numCache>
                <c:formatCode>General</c:formatCode>
                <c:ptCount val="12"/>
                <c:pt idx="0">
                  <c:v>232633</c:v>
                </c:pt>
                <c:pt idx="1">
                  <c:v>272827</c:v>
                </c:pt>
                <c:pt idx="2">
                  <c:v>289522</c:v>
                </c:pt>
                <c:pt idx="3">
                  <c:v>262328</c:v>
                </c:pt>
                <c:pt idx="4">
                  <c:v>266327</c:v>
                </c:pt>
                <c:pt idx="5">
                  <c:v>290323</c:v>
                </c:pt>
                <c:pt idx="6">
                  <c:v>194047</c:v>
                </c:pt>
                <c:pt idx="7">
                  <c:v>195545</c:v>
                </c:pt>
                <c:pt idx="8">
                  <c:v>191747</c:v>
                </c:pt>
                <c:pt idx="9">
                  <c:v>213941</c:v>
                </c:pt>
                <c:pt idx="10">
                  <c:v>226341</c:v>
                </c:pt>
                <c:pt idx="11">
                  <c:v>200345</c:v>
                </c:pt>
              </c:numCache>
            </c:numRef>
          </c:val>
          <c:smooth val="0"/>
          <c:extLst>
            <c:ext xmlns:c16="http://schemas.microsoft.com/office/drawing/2014/chart" uri="{C3380CC4-5D6E-409C-BE32-E72D297353CC}">
              <c16:uniqueId val="{00000000-1ECC-464E-804C-600AFC926066}"/>
            </c:ext>
          </c:extLst>
        </c:ser>
        <c:dLbls>
          <c:showLegendKey val="0"/>
          <c:showVal val="0"/>
          <c:showCatName val="0"/>
          <c:showSerName val="0"/>
          <c:showPercent val="0"/>
          <c:showBubbleSize val="0"/>
        </c:dLbls>
        <c:marker val="1"/>
        <c:smooth val="0"/>
        <c:axId val="1350862143"/>
        <c:axId val="1350858303"/>
      </c:lineChart>
      <c:catAx>
        <c:axId val="135086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58303"/>
        <c:crosses val="autoZero"/>
        <c:auto val="1"/>
        <c:lblAlgn val="ctr"/>
        <c:lblOffset val="100"/>
        <c:noMultiLvlLbl val="0"/>
      </c:catAx>
      <c:valAx>
        <c:axId val="135085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6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Dashboard.xlsx]Payment Status 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Paid vs 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'Payment Status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DC-427B-BFDD-9D6614BC33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DC-427B-BFDD-9D6614BC33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Status Chart'!$A$4:$A$6</c:f>
              <c:strCache>
                <c:ptCount val="2"/>
                <c:pt idx="0">
                  <c:v>Paid</c:v>
                </c:pt>
                <c:pt idx="1">
                  <c:v>Pending</c:v>
                </c:pt>
              </c:strCache>
            </c:strRef>
          </c:cat>
          <c:val>
            <c:numRef>
              <c:f>'Payment Status Chart'!$B$4:$B$6</c:f>
              <c:numCache>
                <c:formatCode>General</c:formatCode>
                <c:ptCount val="2"/>
                <c:pt idx="0">
                  <c:v>162</c:v>
                </c:pt>
                <c:pt idx="1">
                  <c:v>88</c:v>
                </c:pt>
              </c:numCache>
            </c:numRef>
          </c:val>
          <c:extLst>
            <c:ext xmlns:c16="http://schemas.microsoft.com/office/drawing/2014/chart" uri="{C3380CC4-5D6E-409C-BE32-E72D297353CC}">
              <c16:uniqueId val="{00000000-02BF-429E-BD24-DA10A5BC4D3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Dashboard.xlsx]Room-wise Revenue!PivotTable8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Room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'Room-wise Revenue'!$B$3</c:f>
              <c:strCache>
                <c:ptCount val="1"/>
                <c:pt idx="0">
                  <c:v>Total</c:v>
                </c:pt>
              </c:strCache>
            </c:strRef>
          </c:tx>
          <c:spPr>
            <a:solidFill>
              <a:schemeClr val="accent1"/>
            </a:solidFill>
            <a:ln>
              <a:noFill/>
            </a:ln>
            <a:effectLst/>
          </c:spPr>
          <c:invertIfNegative val="0"/>
          <c:cat>
            <c:strRef>
              <c:f>'Room-wise Revenue'!$A$4:$A$10</c:f>
              <c:strCache>
                <c:ptCount val="6"/>
                <c:pt idx="0">
                  <c:v>201</c:v>
                </c:pt>
                <c:pt idx="1">
                  <c:v>202</c:v>
                </c:pt>
                <c:pt idx="2">
                  <c:v>203</c:v>
                </c:pt>
                <c:pt idx="3">
                  <c:v>204</c:v>
                </c:pt>
                <c:pt idx="4">
                  <c:v>205</c:v>
                </c:pt>
                <c:pt idx="5">
                  <c:v>206</c:v>
                </c:pt>
              </c:strCache>
            </c:strRef>
          </c:cat>
          <c:val>
            <c:numRef>
              <c:f>'Room-wise Revenue'!$B$4:$B$10</c:f>
              <c:numCache>
                <c:formatCode>General</c:formatCode>
                <c:ptCount val="6"/>
                <c:pt idx="0">
                  <c:v>379769</c:v>
                </c:pt>
                <c:pt idx="1">
                  <c:v>332367</c:v>
                </c:pt>
                <c:pt idx="2">
                  <c:v>484569</c:v>
                </c:pt>
                <c:pt idx="3">
                  <c:v>566865</c:v>
                </c:pt>
                <c:pt idx="4">
                  <c:v>226497</c:v>
                </c:pt>
                <c:pt idx="5">
                  <c:v>845859</c:v>
                </c:pt>
              </c:numCache>
            </c:numRef>
          </c:val>
          <c:extLst>
            <c:ext xmlns:c16="http://schemas.microsoft.com/office/drawing/2014/chart" uri="{C3380CC4-5D6E-409C-BE32-E72D297353CC}">
              <c16:uniqueId val="{00000000-10DA-4D94-B4EF-36AE8450AE6D}"/>
            </c:ext>
          </c:extLst>
        </c:ser>
        <c:dLbls>
          <c:showLegendKey val="0"/>
          <c:showVal val="0"/>
          <c:showCatName val="0"/>
          <c:showSerName val="0"/>
          <c:showPercent val="0"/>
          <c:showBubbleSize val="0"/>
        </c:dLbls>
        <c:gapWidth val="219"/>
        <c:overlap val="-27"/>
        <c:axId val="1350909663"/>
        <c:axId val="1350911103"/>
      </c:barChart>
      <c:catAx>
        <c:axId val="1350909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11103"/>
        <c:crosses val="autoZero"/>
        <c:auto val="1"/>
        <c:lblAlgn val="ctr"/>
        <c:lblOffset val="100"/>
        <c:noMultiLvlLbl val="0"/>
      </c:catAx>
      <c:valAx>
        <c:axId val="135091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0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Dashboard.xlsx]Room-wise Bookings!PivotTable9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Bookings per Room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'Room-wise Bookings'!$B$3</c:f>
              <c:strCache>
                <c:ptCount val="1"/>
                <c:pt idx="0">
                  <c:v>Total</c:v>
                </c:pt>
              </c:strCache>
            </c:strRef>
          </c:tx>
          <c:spPr>
            <a:solidFill>
              <a:schemeClr val="accent1"/>
            </a:solidFill>
            <a:ln>
              <a:noFill/>
            </a:ln>
            <a:effectLst/>
          </c:spPr>
          <c:invertIfNegative val="0"/>
          <c:cat>
            <c:strRef>
              <c:f>'Room-wise Bookings'!$A$4:$A$10</c:f>
              <c:strCache>
                <c:ptCount val="6"/>
                <c:pt idx="0">
                  <c:v>201</c:v>
                </c:pt>
                <c:pt idx="1">
                  <c:v>202</c:v>
                </c:pt>
                <c:pt idx="2">
                  <c:v>203</c:v>
                </c:pt>
                <c:pt idx="3">
                  <c:v>204</c:v>
                </c:pt>
                <c:pt idx="4">
                  <c:v>205</c:v>
                </c:pt>
                <c:pt idx="5">
                  <c:v>206</c:v>
                </c:pt>
              </c:strCache>
            </c:strRef>
          </c:cat>
          <c:val>
            <c:numRef>
              <c:f>'Room-wise Bookings'!$B$4:$B$10</c:f>
              <c:numCache>
                <c:formatCode>General</c:formatCode>
                <c:ptCount val="6"/>
                <c:pt idx="0">
                  <c:v>43</c:v>
                </c:pt>
                <c:pt idx="1">
                  <c:v>41</c:v>
                </c:pt>
                <c:pt idx="2">
                  <c:v>42</c:v>
                </c:pt>
                <c:pt idx="3">
                  <c:v>41</c:v>
                </c:pt>
                <c:pt idx="4">
                  <c:v>42</c:v>
                </c:pt>
                <c:pt idx="5">
                  <c:v>41</c:v>
                </c:pt>
              </c:numCache>
            </c:numRef>
          </c:val>
          <c:extLst>
            <c:ext xmlns:c16="http://schemas.microsoft.com/office/drawing/2014/chart" uri="{C3380CC4-5D6E-409C-BE32-E72D297353CC}">
              <c16:uniqueId val="{00000000-6AA2-46FB-8C11-E42B4B823033}"/>
            </c:ext>
          </c:extLst>
        </c:ser>
        <c:dLbls>
          <c:showLegendKey val="0"/>
          <c:showVal val="0"/>
          <c:showCatName val="0"/>
          <c:showSerName val="0"/>
          <c:showPercent val="0"/>
          <c:showBubbleSize val="0"/>
        </c:dLbls>
        <c:gapWidth val="182"/>
        <c:axId val="1289281775"/>
        <c:axId val="1289291855"/>
      </c:barChart>
      <c:catAx>
        <c:axId val="128928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91855"/>
        <c:crosses val="autoZero"/>
        <c:auto val="1"/>
        <c:lblAlgn val="ctr"/>
        <c:lblOffset val="100"/>
        <c:noMultiLvlLbl val="0"/>
      </c:catAx>
      <c:valAx>
        <c:axId val="1289291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8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Dashboard.xlsx]Guest Capacity 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Guest Capacity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'Guest Capacity Analysis'!$B$3</c:f>
              <c:strCache>
                <c:ptCount val="1"/>
                <c:pt idx="0">
                  <c:v>Total</c:v>
                </c:pt>
              </c:strCache>
            </c:strRef>
          </c:tx>
          <c:spPr>
            <a:solidFill>
              <a:schemeClr val="accent1"/>
            </a:solidFill>
            <a:ln>
              <a:noFill/>
            </a:ln>
            <a:effectLst/>
          </c:spPr>
          <c:invertIfNegative val="0"/>
          <c:cat>
            <c:strRef>
              <c:f>'Guest Capacity Analysis'!$A$4:$A$7</c:f>
              <c:strCache>
                <c:ptCount val="3"/>
                <c:pt idx="0">
                  <c:v>2</c:v>
                </c:pt>
                <c:pt idx="1">
                  <c:v>3</c:v>
                </c:pt>
                <c:pt idx="2">
                  <c:v>4</c:v>
                </c:pt>
              </c:strCache>
            </c:strRef>
          </c:cat>
          <c:val>
            <c:numRef>
              <c:f>'Guest Capacity Analysis'!$B$4:$B$7</c:f>
              <c:numCache>
                <c:formatCode>General</c:formatCode>
                <c:ptCount val="3"/>
                <c:pt idx="0">
                  <c:v>171</c:v>
                </c:pt>
                <c:pt idx="1">
                  <c:v>43</c:v>
                </c:pt>
                <c:pt idx="2">
                  <c:v>36</c:v>
                </c:pt>
              </c:numCache>
            </c:numRef>
          </c:val>
          <c:extLst>
            <c:ext xmlns:c16="http://schemas.microsoft.com/office/drawing/2014/chart" uri="{C3380CC4-5D6E-409C-BE32-E72D297353CC}">
              <c16:uniqueId val="{00000000-3F88-4E10-8D0E-F5F61056B968}"/>
            </c:ext>
          </c:extLst>
        </c:ser>
        <c:dLbls>
          <c:showLegendKey val="0"/>
          <c:showVal val="0"/>
          <c:showCatName val="0"/>
          <c:showSerName val="0"/>
          <c:showPercent val="0"/>
          <c:showBubbleSize val="0"/>
        </c:dLbls>
        <c:gapWidth val="219"/>
        <c:overlap val="-27"/>
        <c:axId val="1350863103"/>
        <c:axId val="1350868383"/>
      </c:barChart>
      <c:catAx>
        <c:axId val="135086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68383"/>
        <c:crosses val="autoZero"/>
        <c:auto val="1"/>
        <c:lblAlgn val="ctr"/>
        <c:lblOffset val="100"/>
        <c:noMultiLvlLbl val="0"/>
      </c:catAx>
      <c:valAx>
        <c:axId val="135086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6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Dashboard.xlsx]Revenue by Payment Status!PivotTable11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'Revenue by Payment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AD-4CAD-B187-E0947D660C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AD-4CAD-B187-E0947D660C3C}"/>
              </c:ext>
            </c:extLst>
          </c:dPt>
          <c:cat>
            <c:strRef>
              <c:f>'Revenue by Payment Status'!$A$4:$A$6</c:f>
              <c:strCache>
                <c:ptCount val="2"/>
                <c:pt idx="0">
                  <c:v>Paid</c:v>
                </c:pt>
                <c:pt idx="1">
                  <c:v>Pending</c:v>
                </c:pt>
              </c:strCache>
            </c:strRef>
          </c:cat>
          <c:val>
            <c:numRef>
              <c:f>'Revenue by Payment Status'!$B$4:$B$6</c:f>
              <c:numCache>
                <c:formatCode>_("₹"* #,##0.00_);_("₹"* \(#,##0.00\);_("₹"* "-"??_);_(@_)</c:formatCode>
                <c:ptCount val="2"/>
                <c:pt idx="0">
                  <c:v>1950594</c:v>
                </c:pt>
                <c:pt idx="1">
                  <c:v>885332</c:v>
                </c:pt>
              </c:numCache>
            </c:numRef>
          </c:val>
          <c:extLst>
            <c:ext xmlns:c16="http://schemas.microsoft.com/office/drawing/2014/chart" uri="{C3380CC4-5D6E-409C-BE32-E72D297353CC}">
              <c16:uniqueId val="{00000000-AF0C-4D96-90EC-744AFCEC5F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Dashboard.xlsx]Revenue by Payment Status!PivotTable11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'Revenue by Payment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02-49FB-B2A7-9C83104706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02-49FB-B2A7-9C8310470613}"/>
              </c:ext>
            </c:extLst>
          </c:dPt>
          <c:cat>
            <c:strRef>
              <c:f>'Revenue by Payment Status'!$A$4:$A$6</c:f>
              <c:strCache>
                <c:ptCount val="2"/>
                <c:pt idx="0">
                  <c:v>Paid</c:v>
                </c:pt>
                <c:pt idx="1">
                  <c:v>Pending</c:v>
                </c:pt>
              </c:strCache>
            </c:strRef>
          </c:cat>
          <c:val>
            <c:numRef>
              <c:f>'Revenue by Payment Status'!$B$4:$B$6</c:f>
              <c:numCache>
                <c:formatCode>_("₹"* #,##0.00_);_("₹"* \(#,##0.00\);_("₹"* "-"??_);_(@_)</c:formatCode>
                <c:ptCount val="2"/>
                <c:pt idx="0">
                  <c:v>1950594</c:v>
                </c:pt>
                <c:pt idx="1">
                  <c:v>885332</c:v>
                </c:pt>
              </c:numCache>
            </c:numRef>
          </c:val>
          <c:extLst>
            <c:ext xmlns:c16="http://schemas.microsoft.com/office/drawing/2014/chart" uri="{C3380CC4-5D6E-409C-BE32-E72D297353CC}">
              <c16:uniqueId val="{00000004-D302-49FB-B2A7-9C83104706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Dashboard.xlsx]Guest Capacity 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Guest Capacity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'Guest Capacity Analysis'!$B$3</c:f>
              <c:strCache>
                <c:ptCount val="1"/>
                <c:pt idx="0">
                  <c:v>Total</c:v>
                </c:pt>
              </c:strCache>
            </c:strRef>
          </c:tx>
          <c:spPr>
            <a:solidFill>
              <a:schemeClr val="accent1"/>
            </a:solidFill>
            <a:ln>
              <a:noFill/>
            </a:ln>
            <a:effectLst/>
          </c:spPr>
          <c:invertIfNegative val="0"/>
          <c:cat>
            <c:strRef>
              <c:f>'Guest Capacity Analysis'!$A$4:$A$7</c:f>
              <c:strCache>
                <c:ptCount val="3"/>
                <c:pt idx="0">
                  <c:v>2</c:v>
                </c:pt>
                <c:pt idx="1">
                  <c:v>3</c:v>
                </c:pt>
                <c:pt idx="2">
                  <c:v>4</c:v>
                </c:pt>
              </c:strCache>
            </c:strRef>
          </c:cat>
          <c:val>
            <c:numRef>
              <c:f>'Guest Capacity Analysis'!$B$4:$B$7</c:f>
              <c:numCache>
                <c:formatCode>General</c:formatCode>
                <c:ptCount val="3"/>
                <c:pt idx="0">
                  <c:v>171</c:v>
                </c:pt>
                <c:pt idx="1">
                  <c:v>43</c:v>
                </c:pt>
                <c:pt idx="2">
                  <c:v>36</c:v>
                </c:pt>
              </c:numCache>
            </c:numRef>
          </c:val>
          <c:extLst>
            <c:ext xmlns:c16="http://schemas.microsoft.com/office/drawing/2014/chart" uri="{C3380CC4-5D6E-409C-BE32-E72D297353CC}">
              <c16:uniqueId val="{00000000-F900-4FE5-9267-44B15C44771D}"/>
            </c:ext>
          </c:extLst>
        </c:ser>
        <c:dLbls>
          <c:showLegendKey val="0"/>
          <c:showVal val="0"/>
          <c:showCatName val="0"/>
          <c:showSerName val="0"/>
          <c:showPercent val="0"/>
          <c:showBubbleSize val="0"/>
        </c:dLbls>
        <c:gapWidth val="219"/>
        <c:overlap val="-27"/>
        <c:axId val="1350863103"/>
        <c:axId val="1350868383"/>
      </c:barChart>
      <c:catAx>
        <c:axId val="135086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68383"/>
        <c:crosses val="autoZero"/>
        <c:auto val="1"/>
        <c:lblAlgn val="ctr"/>
        <c:lblOffset val="100"/>
        <c:noMultiLvlLbl val="0"/>
      </c:catAx>
      <c:valAx>
        <c:axId val="135086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6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Dashboard.xlsx]Room-wise Bookings!PivotTable9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Bookings per Room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'Room-wise Bookings'!$B$3</c:f>
              <c:strCache>
                <c:ptCount val="1"/>
                <c:pt idx="0">
                  <c:v>Total</c:v>
                </c:pt>
              </c:strCache>
            </c:strRef>
          </c:tx>
          <c:spPr>
            <a:solidFill>
              <a:schemeClr val="accent1"/>
            </a:solidFill>
            <a:ln>
              <a:noFill/>
            </a:ln>
            <a:effectLst/>
          </c:spPr>
          <c:invertIfNegative val="0"/>
          <c:cat>
            <c:strRef>
              <c:f>'Room-wise Bookings'!$A$4:$A$10</c:f>
              <c:strCache>
                <c:ptCount val="6"/>
                <c:pt idx="0">
                  <c:v>201</c:v>
                </c:pt>
                <c:pt idx="1">
                  <c:v>202</c:v>
                </c:pt>
                <c:pt idx="2">
                  <c:v>203</c:v>
                </c:pt>
                <c:pt idx="3">
                  <c:v>204</c:v>
                </c:pt>
                <c:pt idx="4">
                  <c:v>205</c:v>
                </c:pt>
                <c:pt idx="5">
                  <c:v>206</c:v>
                </c:pt>
              </c:strCache>
            </c:strRef>
          </c:cat>
          <c:val>
            <c:numRef>
              <c:f>'Room-wise Bookings'!$B$4:$B$10</c:f>
              <c:numCache>
                <c:formatCode>General</c:formatCode>
                <c:ptCount val="6"/>
                <c:pt idx="0">
                  <c:v>43</c:v>
                </c:pt>
                <c:pt idx="1">
                  <c:v>41</c:v>
                </c:pt>
                <c:pt idx="2">
                  <c:v>42</c:v>
                </c:pt>
                <c:pt idx="3">
                  <c:v>41</c:v>
                </c:pt>
                <c:pt idx="4">
                  <c:v>42</c:v>
                </c:pt>
                <c:pt idx="5">
                  <c:v>41</c:v>
                </c:pt>
              </c:numCache>
            </c:numRef>
          </c:val>
          <c:extLst>
            <c:ext xmlns:c16="http://schemas.microsoft.com/office/drawing/2014/chart" uri="{C3380CC4-5D6E-409C-BE32-E72D297353CC}">
              <c16:uniqueId val="{00000000-1891-457D-B906-3BD2342B26AF}"/>
            </c:ext>
          </c:extLst>
        </c:ser>
        <c:dLbls>
          <c:showLegendKey val="0"/>
          <c:showVal val="0"/>
          <c:showCatName val="0"/>
          <c:showSerName val="0"/>
          <c:showPercent val="0"/>
          <c:showBubbleSize val="0"/>
        </c:dLbls>
        <c:gapWidth val="182"/>
        <c:axId val="1289281775"/>
        <c:axId val="1289291855"/>
      </c:barChart>
      <c:catAx>
        <c:axId val="128928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91855"/>
        <c:crosses val="autoZero"/>
        <c:auto val="1"/>
        <c:lblAlgn val="ctr"/>
        <c:lblOffset val="100"/>
        <c:noMultiLvlLbl val="0"/>
      </c:catAx>
      <c:valAx>
        <c:axId val="1289291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8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Dashboard.xlsx]Room-wise Revenue!PivotTable8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Room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'Room-wise Revenue'!$B$3</c:f>
              <c:strCache>
                <c:ptCount val="1"/>
                <c:pt idx="0">
                  <c:v>Total</c:v>
                </c:pt>
              </c:strCache>
            </c:strRef>
          </c:tx>
          <c:spPr>
            <a:solidFill>
              <a:schemeClr val="accent1"/>
            </a:solidFill>
            <a:ln>
              <a:noFill/>
            </a:ln>
            <a:effectLst/>
          </c:spPr>
          <c:invertIfNegative val="0"/>
          <c:cat>
            <c:strRef>
              <c:f>'Room-wise Revenue'!$A$4:$A$10</c:f>
              <c:strCache>
                <c:ptCount val="6"/>
                <c:pt idx="0">
                  <c:v>201</c:v>
                </c:pt>
                <c:pt idx="1">
                  <c:v>202</c:v>
                </c:pt>
                <c:pt idx="2">
                  <c:v>203</c:v>
                </c:pt>
                <c:pt idx="3">
                  <c:v>204</c:v>
                </c:pt>
                <c:pt idx="4">
                  <c:v>205</c:v>
                </c:pt>
                <c:pt idx="5">
                  <c:v>206</c:v>
                </c:pt>
              </c:strCache>
            </c:strRef>
          </c:cat>
          <c:val>
            <c:numRef>
              <c:f>'Room-wise Revenue'!$B$4:$B$10</c:f>
              <c:numCache>
                <c:formatCode>General</c:formatCode>
                <c:ptCount val="6"/>
                <c:pt idx="0">
                  <c:v>379769</c:v>
                </c:pt>
                <c:pt idx="1">
                  <c:v>332367</c:v>
                </c:pt>
                <c:pt idx="2">
                  <c:v>484569</c:v>
                </c:pt>
                <c:pt idx="3">
                  <c:v>566865</c:v>
                </c:pt>
                <c:pt idx="4">
                  <c:v>226497</c:v>
                </c:pt>
                <c:pt idx="5">
                  <c:v>845859</c:v>
                </c:pt>
              </c:numCache>
            </c:numRef>
          </c:val>
          <c:extLst>
            <c:ext xmlns:c16="http://schemas.microsoft.com/office/drawing/2014/chart" uri="{C3380CC4-5D6E-409C-BE32-E72D297353CC}">
              <c16:uniqueId val="{00000000-A864-494C-975B-0E36749268E0}"/>
            </c:ext>
          </c:extLst>
        </c:ser>
        <c:dLbls>
          <c:showLegendKey val="0"/>
          <c:showVal val="0"/>
          <c:showCatName val="0"/>
          <c:showSerName val="0"/>
          <c:showPercent val="0"/>
          <c:showBubbleSize val="0"/>
        </c:dLbls>
        <c:gapWidth val="219"/>
        <c:overlap val="-27"/>
        <c:axId val="1350909663"/>
        <c:axId val="1350911103"/>
      </c:barChart>
      <c:catAx>
        <c:axId val="1350909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11103"/>
        <c:crosses val="autoZero"/>
        <c:auto val="1"/>
        <c:lblAlgn val="ctr"/>
        <c:lblOffset val="100"/>
        <c:noMultiLvlLbl val="0"/>
      </c:catAx>
      <c:valAx>
        <c:axId val="135091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0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Dashboard.xlsx]Payment Status Chart!PivotTable7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Paid vs 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'Payment Status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2E-4F8D-A737-2BD95EDC0A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2E-4F8D-A737-2BD95EDC0A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Status Chart'!$A$4:$A$6</c:f>
              <c:strCache>
                <c:ptCount val="2"/>
                <c:pt idx="0">
                  <c:v>Paid</c:v>
                </c:pt>
                <c:pt idx="1">
                  <c:v>Pending</c:v>
                </c:pt>
              </c:strCache>
            </c:strRef>
          </c:cat>
          <c:val>
            <c:numRef>
              <c:f>'Payment Status Chart'!$B$4:$B$6</c:f>
              <c:numCache>
                <c:formatCode>General</c:formatCode>
                <c:ptCount val="2"/>
                <c:pt idx="0">
                  <c:v>162</c:v>
                </c:pt>
                <c:pt idx="1">
                  <c:v>88</c:v>
                </c:pt>
              </c:numCache>
            </c:numRef>
          </c:val>
          <c:extLst>
            <c:ext xmlns:c16="http://schemas.microsoft.com/office/drawing/2014/chart" uri="{C3380CC4-5D6E-409C-BE32-E72D297353CC}">
              <c16:uniqueId val="{00000004-C72E-4F8D-A737-2BD95EDC0A7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Dashboard.xlsx]Monthly Revenue Trend!PivotTable6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 Trend'!$B$4:$B$16</c:f>
              <c:numCache>
                <c:formatCode>General</c:formatCode>
                <c:ptCount val="12"/>
                <c:pt idx="0">
                  <c:v>232633</c:v>
                </c:pt>
                <c:pt idx="1">
                  <c:v>272827</c:v>
                </c:pt>
                <c:pt idx="2">
                  <c:v>289522</c:v>
                </c:pt>
                <c:pt idx="3">
                  <c:v>262328</c:v>
                </c:pt>
                <c:pt idx="4">
                  <c:v>266327</c:v>
                </c:pt>
                <c:pt idx="5">
                  <c:v>290323</c:v>
                </c:pt>
                <c:pt idx="6">
                  <c:v>194047</c:v>
                </c:pt>
                <c:pt idx="7">
                  <c:v>195545</c:v>
                </c:pt>
                <c:pt idx="8">
                  <c:v>191747</c:v>
                </c:pt>
                <c:pt idx="9">
                  <c:v>213941</c:v>
                </c:pt>
                <c:pt idx="10">
                  <c:v>226341</c:v>
                </c:pt>
                <c:pt idx="11">
                  <c:v>200345</c:v>
                </c:pt>
              </c:numCache>
            </c:numRef>
          </c:val>
          <c:smooth val="0"/>
          <c:extLst>
            <c:ext xmlns:c16="http://schemas.microsoft.com/office/drawing/2014/chart" uri="{C3380CC4-5D6E-409C-BE32-E72D297353CC}">
              <c16:uniqueId val="{00000000-6E7D-4FD8-B392-89BD987DC2F4}"/>
            </c:ext>
          </c:extLst>
        </c:ser>
        <c:dLbls>
          <c:showLegendKey val="0"/>
          <c:showVal val="0"/>
          <c:showCatName val="0"/>
          <c:showSerName val="0"/>
          <c:showPercent val="0"/>
          <c:showBubbleSize val="0"/>
        </c:dLbls>
        <c:marker val="1"/>
        <c:smooth val="0"/>
        <c:axId val="1350862143"/>
        <c:axId val="1350858303"/>
      </c:lineChart>
      <c:catAx>
        <c:axId val="135086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58303"/>
        <c:crosses val="autoZero"/>
        <c:auto val="1"/>
        <c:lblAlgn val="ctr"/>
        <c:lblOffset val="100"/>
        <c:noMultiLvlLbl val="0"/>
      </c:catAx>
      <c:valAx>
        <c:axId val="135085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6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3</xdr:col>
      <xdr:colOff>88900</xdr:colOff>
      <xdr:row>3</xdr:row>
      <xdr:rowOff>88900</xdr:rowOff>
    </xdr:from>
    <xdr:to>
      <xdr:col>10</xdr:col>
      <xdr:colOff>393700</xdr:colOff>
      <xdr:row>18</xdr:row>
      <xdr:rowOff>69850</xdr:rowOff>
    </xdr:to>
    <xdr:graphicFrame macro="">
      <xdr:nvGraphicFramePr>
        <xdr:cNvPr id="2" name="Chart 1">
          <a:extLst>
            <a:ext uri="{FF2B5EF4-FFF2-40B4-BE49-F238E27FC236}">
              <a16:creationId xmlns:a16="http://schemas.microsoft.com/office/drawing/2014/main" id="{21519496-6861-1EA1-7BBD-5158CC49B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488950</xdr:colOff>
      <xdr:row>1</xdr:row>
      <xdr:rowOff>57150</xdr:rowOff>
    </xdr:from>
    <xdr:to>
      <xdr:col>10</xdr:col>
      <xdr:colOff>184150</xdr:colOff>
      <xdr:row>16</xdr:row>
      <xdr:rowOff>38100</xdr:rowOff>
    </xdr:to>
    <xdr:graphicFrame macro="">
      <xdr:nvGraphicFramePr>
        <xdr:cNvPr id="2" name="Chart 1">
          <a:extLst>
            <a:ext uri="{FF2B5EF4-FFF2-40B4-BE49-F238E27FC236}">
              <a16:creationId xmlns:a16="http://schemas.microsoft.com/office/drawing/2014/main" id="{CF225213-5D12-EE43-4967-E33C5EE55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31750</xdr:colOff>
      <xdr:row>2</xdr:row>
      <xdr:rowOff>12700</xdr:rowOff>
    </xdr:from>
    <xdr:to>
      <xdr:col>10</xdr:col>
      <xdr:colOff>336550</xdr:colOff>
      <xdr:row>16</xdr:row>
      <xdr:rowOff>177800</xdr:rowOff>
    </xdr:to>
    <xdr:graphicFrame macro="">
      <xdr:nvGraphicFramePr>
        <xdr:cNvPr id="2" name="Chart 1">
          <a:extLst>
            <a:ext uri="{FF2B5EF4-FFF2-40B4-BE49-F238E27FC236}">
              <a16:creationId xmlns:a16="http://schemas.microsoft.com/office/drawing/2014/main" id="{E6DDF0AC-89E4-A40E-994E-C489836DD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374650</xdr:colOff>
      <xdr:row>2</xdr:row>
      <xdr:rowOff>0</xdr:rowOff>
    </xdr:from>
    <xdr:to>
      <xdr:col>10</xdr:col>
      <xdr:colOff>69850</xdr:colOff>
      <xdr:row>16</xdr:row>
      <xdr:rowOff>165100</xdr:rowOff>
    </xdr:to>
    <xdr:graphicFrame macro="">
      <xdr:nvGraphicFramePr>
        <xdr:cNvPr id="2" name="Chart 1">
          <a:extLst>
            <a:ext uri="{FF2B5EF4-FFF2-40B4-BE49-F238E27FC236}">
              <a16:creationId xmlns:a16="http://schemas.microsoft.com/office/drawing/2014/main" id="{66E3AFFF-1C0D-2C3F-70AB-253A914F1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476250</xdr:colOff>
      <xdr:row>1</xdr:row>
      <xdr:rowOff>120650</xdr:rowOff>
    </xdr:from>
    <xdr:to>
      <xdr:col>10</xdr:col>
      <xdr:colOff>171450</xdr:colOff>
      <xdr:row>16</xdr:row>
      <xdr:rowOff>101600</xdr:rowOff>
    </xdr:to>
    <xdr:graphicFrame macro="">
      <xdr:nvGraphicFramePr>
        <xdr:cNvPr id="2" name="Chart 1">
          <a:extLst>
            <a:ext uri="{FF2B5EF4-FFF2-40B4-BE49-F238E27FC236}">
              <a16:creationId xmlns:a16="http://schemas.microsoft.com/office/drawing/2014/main" id="{D0F896E7-BA4B-41DE-7F0D-8FD9EE46B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514350</xdr:colOff>
      <xdr:row>1</xdr:row>
      <xdr:rowOff>177800</xdr:rowOff>
    </xdr:from>
    <xdr:to>
      <xdr:col>10</xdr:col>
      <xdr:colOff>209550</xdr:colOff>
      <xdr:row>16</xdr:row>
      <xdr:rowOff>158750</xdr:rowOff>
    </xdr:to>
    <xdr:graphicFrame macro="">
      <xdr:nvGraphicFramePr>
        <xdr:cNvPr id="2" name="Chart 1">
          <a:extLst>
            <a:ext uri="{FF2B5EF4-FFF2-40B4-BE49-F238E27FC236}">
              <a16:creationId xmlns:a16="http://schemas.microsoft.com/office/drawing/2014/main" id="{B92D0F88-93C0-AD88-9831-A537531C5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273050</xdr:colOff>
      <xdr:row>4</xdr:row>
      <xdr:rowOff>38100</xdr:rowOff>
    </xdr:from>
    <xdr:to>
      <xdr:col>5</xdr:col>
      <xdr:colOff>120650</xdr:colOff>
      <xdr:row>18</xdr:row>
      <xdr:rowOff>73025</xdr:rowOff>
    </xdr:to>
    <mc:AlternateContent xmlns:mc="http://schemas.openxmlformats.org/markup-compatibility/2006" xmlns:a14="http://schemas.microsoft.com/office/drawing/2010/main">
      <mc:Choice Requires="a14">
        <xdr:graphicFrame macro="">
          <xdr:nvGraphicFramePr>
            <xdr:cNvPr id="2" name="RoomNo">
              <a:extLst>
                <a:ext uri="{FF2B5EF4-FFF2-40B4-BE49-F238E27FC236}">
                  <a16:creationId xmlns:a16="http://schemas.microsoft.com/office/drawing/2014/main" id="{E4D72F95-FB5A-D1D0-C471-442CE82E898E}"/>
                </a:ext>
              </a:extLst>
            </xdr:cNvPr>
            <xdr:cNvGraphicFramePr/>
          </xdr:nvGraphicFramePr>
          <xdr:xfrm>
            <a:off x="0" y="0"/>
            <a:ext cx="0" cy="0"/>
          </xdr:xfrm>
          <a:graphic>
            <a:graphicData uri="http://schemas.microsoft.com/office/drawing/2010/slicer">
              <sle:slicer xmlns:sle="http://schemas.microsoft.com/office/drawing/2010/slicer" name="RoomNo"/>
            </a:graphicData>
          </a:graphic>
        </xdr:graphicFrame>
      </mc:Choice>
      <mc:Fallback xmlns="">
        <xdr:sp macro="" textlink="">
          <xdr:nvSpPr>
            <xdr:cNvPr id="0" name=""/>
            <xdr:cNvSpPr>
              <a:spLocks noTextEdit="1"/>
            </xdr:cNvSpPr>
          </xdr:nvSpPr>
          <xdr:spPr>
            <a:xfrm>
              <a:off x="2419350" y="774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304800</xdr:colOff>
      <xdr:row>15</xdr:row>
      <xdr:rowOff>63500</xdr:rowOff>
    </xdr:from>
    <xdr:to>
      <xdr:col>8</xdr:col>
      <xdr:colOff>152400</xdr:colOff>
      <xdr:row>29</xdr:row>
      <xdr:rowOff>98425</xdr:rowOff>
    </xdr:to>
    <mc:AlternateContent xmlns:mc="http://schemas.openxmlformats.org/markup-compatibility/2006" xmlns:a14="http://schemas.microsoft.com/office/drawing/2010/main">
      <mc:Choice Requires="a14">
        <xdr:graphicFrame macro="">
          <xdr:nvGraphicFramePr>
            <xdr:cNvPr id="3" name="Guests">
              <a:extLst>
                <a:ext uri="{FF2B5EF4-FFF2-40B4-BE49-F238E27FC236}">
                  <a16:creationId xmlns:a16="http://schemas.microsoft.com/office/drawing/2014/main" id="{9AC0D270-B44F-8598-99DE-F8E7D18FBE39}"/>
                </a:ext>
              </a:extLst>
            </xdr:cNvPr>
            <xdr:cNvGraphicFramePr/>
          </xdr:nvGraphicFramePr>
          <xdr:xfrm>
            <a:off x="0" y="0"/>
            <a:ext cx="0" cy="0"/>
          </xdr:xfrm>
          <a:graphic>
            <a:graphicData uri="http://schemas.microsoft.com/office/drawing/2010/slicer">
              <sle:slicer xmlns:sle="http://schemas.microsoft.com/office/drawing/2010/slicer" name="Guests"/>
            </a:graphicData>
          </a:graphic>
        </xdr:graphicFrame>
      </mc:Choice>
      <mc:Fallback xmlns="">
        <xdr:sp macro="" textlink="">
          <xdr:nvSpPr>
            <xdr:cNvPr id="0" name=""/>
            <xdr:cNvSpPr>
              <a:spLocks noTextEdit="1"/>
            </xdr:cNvSpPr>
          </xdr:nvSpPr>
          <xdr:spPr>
            <a:xfrm>
              <a:off x="4279900" y="2825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12</xdr:row>
      <xdr:rowOff>25400</xdr:rowOff>
    </xdr:from>
    <xdr:to>
      <xdr:col>1</xdr:col>
      <xdr:colOff>1123950</xdr:colOff>
      <xdr:row>26</xdr:row>
      <xdr:rowOff>60325</xdr:rowOff>
    </xdr:to>
    <mc:AlternateContent xmlns:mc="http://schemas.openxmlformats.org/markup-compatibility/2006" xmlns:a14="http://schemas.microsoft.com/office/drawing/2010/main">
      <mc:Choice Requires="a14">
        <xdr:graphicFrame macro="">
          <xdr:nvGraphicFramePr>
            <xdr:cNvPr id="4" name="PaymentStatus">
              <a:extLst>
                <a:ext uri="{FF2B5EF4-FFF2-40B4-BE49-F238E27FC236}">
                  <a16:creationId xmlns:a16="http://schemas.microsoft.com/office/drawing/2014/main" id="{765ACECA-53ED-B873-7BE3-595A11EF49E7}"/>
                </a:ext>
              </a:extLst>
            </xdr:cNvPr>
            <xdr:cNvGraphicFramePr/>
          </xdr:nvGraphicFramePr>
          <xdr:xfrm>
            <a:off x="0" y="0"/>
            <a:ext cx="0" cy="0"/>
          </xdr:xfrm>
          <a:graphic>
            <a:graphicData uri="http://schemas.microsoft.com/office/drawing/2010/slicer">
              <sle:slicer xmlns:sle="http://schemas.microsoft.com/office/drawing/2010/slicer" name="PaymentStatus"/>
            </a:graphicData>
          </a:graphic>
        </xdr:graphicFrame>
      </mc:Choice>
      <mc:Fallback xmlns="">
        <xdr:sp macro="" textlink="">
          <xdr:nvSpPr>
            <xdr:cNvPr id="0" name=""/>
            <xdr:cNvSpPr>
              <a:spLocks noTextEdit="1"/>
            </xdr:cNvSpPr>
          </xdr:nvSpPr>
          <xdr:spPr>
            <a:xfrm>
              <a:off x="190500" y="2235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368300</xdr:colOff>
      <xdr:row>3</xdr:row>
      <xdr:rowOff>63500</xdr:rowOff>
    </xdr:from>
    <xdr:to>
      <xdr:col>11</xdr:col>
      <xdr:colOff>215900</xdr:colOff>
      <xdr:row>17</xdr:row>
      <xdr:rowOff>98425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A872EF87-0876-AC20-E54A-740C4F1BB21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72200" y="615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3</xdr:row>
      <xdr:rowOff>170964</xdr:rowOff>
    </xdr:from>
    <xdr:to>
      <xdr:col>1</xdr:col>
      <xdr:colOff>1637365</xdr:colOff>
      <xdr:row>15</xdr:row>
      <xdr:rowOff>0</xdr:rowOff>
    </xdr:to>
    <mc:AlternateContent xmlns:mc="http://schemas.openxmlformats.org/markup-compatibility/2006" xmlns:a14="http://schemas.microsoft.com/office/drawing/2010/main">
      <mc:Choice Requires="a14">
        <xdr:graphicFrame macro="">
          <xdr:nvGraphicFramePr>
            <xdr:cNvPr id="2" name="RoomNo 1">
              <a:extLst>
                <a:ext uri="{FF2B5EF4-FFF2-40B4-BE49-F238E27FC236}">
                  <a16:creationId xmlns:a16="http://schemas.microsoft.com/office/drawing/2014/main" id="{FD8AE164-9F35-4609-89F1-D50F215ADE38}"/>
                </a:ext>
              </a:extLst>
            </xdr:cNvPr>
            <xdr:cNvGraphicFramePr/>
          </xdr:nvGraphicFramePr>
          <xdr:xfrm>
            <a:off x="0" y="0"/>
            <a:ext cx="0" cy="0"/>
          </xdr:xfrm>
          <a:graphic>
            <a:graphicData uri="http://schemas.microsoft.com/office/drawing/2010/slicer">
              <sle:slicer xmlns:sle="http://schemas.microsoft.com/office/drawing/2010/slicer" name="RoomNo 1"/>
            </a:graphicData>
          </a:graphic>
        </xdr:graphicFrame>
      </mc:Choice>
      <mc:Fallback xmlns="">
        <xdr:sp macro="" textlink="">
          <xdr:nvSpPr>
            <xdr:cNvPr id="0" name=""/>
            <xdr:cNvSpPr>
              <a:spLocks noTextEdit="1"/>
            </xdr:cNvSpPr>
          </xdr:nvSpPr>
          <xdr:spPr>
            <a:xfrm>
              <a:off x="1092791" y="1337592"/>
              <a:ext cx="1637365" cy="1955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13411</xdr:colOff>
      <xdr:row>16</xdr:row>
      <xdr:rowOff>9614</xdr:rowOff>
    </xdr:from>
    <xdr:to>
      <xdr:col>1</xdr:col>
      <xdr:colOff>1637366</xdr:colOff>
      <xdr:row>22</xdr:row>
      <xdr:rowOff>4901</xdr:rowOff>
    </xdr:to>
    <mc:AlternateContent xmlns:mc="http://schemas.openxmlformats.org/markup-compatibility/2006" xmlns:a14="http://schemas.microsoft.com/office/drawing/2010/main">
      <mc:Choice Requires="a14">
        <xdr:graphicFrame macro="">
          <xdr:nvGraphicFramePr>
            <xdr:cNvPr id="3" name="PaymentStatus 1">
              <a:extLst>
                <a:ext uri="{FF2B5EF4-FFF2-40B4-BE49-F238E27FC236}">
                  <a16:creationId xmlns:a16="http://schemas.microsoft.com/office/drawing/2014/main" id="{C82A663A-762F-4502-B2D3-3A8F708A1D94}"/>
                </a:ext>
              </a:extLst>
            </xdr:cNvPr>
            <xdr:cNvGraphicFramePr/>
          </xdr:nvGraphicFramePr>
          <xdr:xfrm>
            <a:off x="0" y="0"/>
            <a:ext cx="0" cy="0"/>
          </xdr:xfrm>
          <a:graphic>
            <a:graphicData uri="http://schemas.microsoft.com/office/drawing/2010/slicer">
              <sle:slicer xmlns:sle="http://schemas.microsoft.com/office/drawing/2010/slicer" name="PaymentStatus 1"/>
            </a:graphicData>
          </a:graphic>
        </xdr:graphicFrame>
      </mc:Choice>
      <mc:Fallback xmlns="">
        <xdr:sp macro="" textlink="">
          <xdr:nvSpPr>
            <xdr:cNvPr id="0" name=""/>
            <xdr:cNvSpPr>
              <a:spLocks noTextEdit="1"/>
            </xdr:cNvSpPr>
          </xdr:nvSpPr>
          <xdr:spPr>
            <a:xfrm>
              <a:off x="1106202" y="3479963"/>
              <a:ext cx="1623955" cy="1058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15143</xdr:colOff>
      <xdr:row>32</xdr:row>
      <xdr:rowOff>1688</xdr:rowOff>
    </xdr:from>
    <xdr:to>
      <xdr:col>1</xdr:col>
      <xdr:colOff>1629646</xdr:colOff>
      <xdr:row>39</xdr:row>
      <xdr:rowOff>1149</xdr:rowOff>
    </xdr:to>
    <mc:AlternateContent xmlns:mc="http://schemas.openxmlformats.org/markup-compatibility/2006" xmlns:a14="http://schemas.microsoft.com/office/drawing/2010/main">
      <mc:Choice Requires="a14">
        <xdr:graphicFrame macro="">
          <xdr:nvGraphicFramePr>
            <xdr:cNvPr id="4" name="Guests 1">
              <a:extLst>
                <a:ext uri="{FF2B5EF4-FFF2-40B4-BE49-F238E27FC236}">
                  <a16:creationId xmlns:a16="http://schemas.microsoft.com/office/drawing/2014/main" id="{B9F35855-D98A-48C1-8CAB-06CE02033E4C}"/>
                </a:ext>
              </a:extLst>
            </xdr:cNvPr>
            <xdr:cNvGraphicFramePr/>
          </xdr:nvGraphicFramePr>
          <xdr:xfrm>
            <a:off x="0" y="0"/>
            <a:ext cx="0" cy="0"/>
          </xdr:xfrm>
          <a:graphic>
            <a:graphicData uri="http://schemas.microsoft.com/office/drawing/2010/slicer">
              <sle:slicer xmlns:sle="http://schemas.microsoft.com/office/drawing/2010/slicer" name="Guests 1"/>
            </a:graphicData>
          </a:graphic>
        </xdr:graphicFrame>
      </mc:Choice>
      <mc:Fallback xmlns="">
        <xdr:sp macro="" textlink="">
          <xdr:nvSpPr>
            <xdr:cNvPr id="0" name=""/>
            <xdr:cNvSpPr>
              <a:spLocks noTextEdit="1"/>
            </xdr:cNvSpPr>
          </xdr:nvSpPr>
          <xdr:spPr>
            <a:xfrm>
              <a:off x="1107934" y="6307386"/>
              <a:ext cx="1614503" cy="1239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28708</xdr:colOff>
      <xdr:row>22</xdr:row>
      <xdr:rowOff>178179</xdr:rowOff>
    </xdr:from>
    <xdr:to>
      <xdr:col>1</xdr:col>
      <xdr:colOff>1644580</xdr:colOff>
      <xdr:row>31</xdr:row>
      <xdr:rowOff>3102</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96F63E9B-FEC7-48E6-9819-4591AED3882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21499" y="4711784"/>
              <a:ext cx="1615872" cy="1419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7136</xdr:colOff>
      <xdr:row>4</xdr:row>
      <xdr:rowOff>4994</xdr:rowOff>
    </xdr:from>
    <xdr:to>
      <xdr:col>5</xdr:col>
      <xdr:colOff>959716</xdr:colOff>
      <xdr:row>12</xdr:row>
      <xdr:rowOff>163870</xdr:rowOff>
    </xdr:to>
    <xdr:graphicFrame macro="">
      <xdr:nvGraphicFramePr>
        <xdr:cNvPr id="6" name="Chart 5">
          <a:extLst>
            <a:ext uri="{FF2B5EF4-FFF2-40B4-BE49-F238E27FC236}">
              <a16:creationId xmlns:a16="http://schemas.microsoft.com/office/drawing/2014/main" id="{98ACD6B8-09C7-4B4F-974B-595E4BA69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1450725</xdr:colOff>
      <xdr:row>4</xdr:row>
      <xdr:rowOff>21847</xdr:rowOff>
    </xdr:from>
    <xdr:to>
      <xdr:col>10</xdr:col>
      <xdr:colOff>10948</xdr:colOff>
      <xdr:row>13</xdr:row>
      <xdr:rowOff>43439</xdr:rowOff>
    </xdr:to>
    <xdr:graphicFrame macro="">
      <xdr:nvGraphicFramePr>
        <xdr:cNvPr id="7" name="Chart 6">
          <a:extLst>
            <a:ext uri="{FF2B5EF4-FFF2-40B4-BE49-F238E27FC236}">
              <a16:creationId xmlns:a16="http://schemas.microsoft.com/office/drawing/2014/main" id="{57830116-1F21-4F7E-B0EA-42A55E1F1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647915</xdr:colOff>
      <xdr:row>15</xdr:row>
      <xdr:rowOff>7085</xdr:rowOff>
    </xdr:from>
    <xdr:to>
      <xdr:col>10</xdr:col>
      <xdr:colOff>18143</xdr:colOff>
      <xdr:row>23</xdr:row>
      <xdr:rowOff>153629</xdr:rowOff>
    </xdr:to>
    <xdr:graphicFrame macro="">
      <xdr:nvGraphicFramePr>
        <xdr:cNvPr id="8" name="Chart 7">
          <a:extLst>
            <a:ext uri="{FF2B5EF4-FFF2-40B4-BE49-F238E27FC236}">
              <a16:creationId xmlns:a16="http://schemas.microsoft.com/office/drawing/2014/main" id="{E6D42EF5-9522-46E7-B465-DA1E948C2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655353</xdr:colOff>
      <xdr:row>4</xdr:row>
      <xdr:rowOff>86591</xdr:rowOff>
    </xdr:from>
    <xdr:to>
      <xdr:col>18</xdr:col>
      <xdr:colOff>252135</xdr:colOff>
      <xdr:row>24</xdr:row>
      <xdr:rowOff>112032</xdr:rowOff>
    </xdr:to>
    <xdr:graphicFrame macro="">
      <xdr:nvGraphicFramePr>
        <xdr:cNvPr id="9" name="Chart 8">
          <a:extLst>
            <a:ext uri="{FF2B5EF4-FFF2-40B4-BE49-F238E27FC236}">
              <a16:creationId xmlns:a16="http://schemas.microsoft.com/office/drawing/2014/main" id="{81BFBBBE-12A4-4712-ABD4-47EA0DAD9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17266</xdr:colOff>
      <xdr:row>26</xdr:row>
      <xdr:rowOff>15801</xdr:rowOff>
    </xdr:from>
    <xdr:to>
      <xdr:col>7</xdr:col>
      <xdr:colOff>448879</xdr:colOff>
      <xdr:row>39</xdr:row>
      <xdr:rowOff>34851</xdr:rowOff>
    </xdr:to>
    <xdr:graphicFrame macro="">
      <xdr:nvGraphicFramePr>
        <xdr:cNvPr id="10" name="Chart 9">
          <a:extLst>
            <a:ext uri="{FF2B5EF4-FFF2-40B4-BE49-F238E27FC236}">
              <a16:creationId xmlns:a16="http://schemas.microsoft.com/office/drawing/2014/main" id="{31C6DC40-BCA1-4254-B1E3-E6D00C320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218965</xdr:colOff>
      <xdr:row>26</xdr:row>
      <xdr:rowOff>11751</xdr:rowOff>
    </xdr:from>
    <xdr:to>
      <xdr:col>18</xdr:col>
      <xdr:colOff>221511</xdr:colOff>
      <xdr:row>39</xdr:row>
      <xdr:rowOff>9072</xdr:rowOff>
    </xdr:to>
    <xdr:graphicFrame macro="">
      <xdr:nvGraphicFramePr>
        <xdr:cNvPr id="11" name="Chart 10">
          <a:extLst>
            <a:ext uri="{FF2B5EF4-FFF2-40B4-BE49-F238E27FC236}">
              <a16:creationId xmlns:a16="http://schemas.microsoft.com/office/drawing/2014/main" id="{51450A07-4C40-4C50-A03F-4BFE04C8E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656772</xdr:colOff>
      <xdr:row>5</xdr:row>
      <xdr:rowOff>150585</xdr:rowOff>
    </xdr:from>
    <xdr:to>
      <xdr:col>17</xdr:col>
      <xdr:colOff>21772</xdr:colOff>
      <xdr:row>11</xdr:row>
      <xdr:rowOff>19957</xdr:rowOff>
    </xdr:to>
    <xdr:sp macro="" textlink="">
      <xdr:nvSpPr>
        <xdr:cNvPr id="2" name="Rectangle: Rounded Corners 1">
          <a:extLst>
            <a:ext uri="{FF2B5EF4-FFF2-40B4-BE49-F238E27FC236}">
              <a16:creationId xmlns:a16="http://schemas.microsoft.com/office/drawing/2014/main" id="{517FB1B1-7CFC-AF5A-DE35-F1AF69499C79}"/>
            </a:ext>
          </a:extLst>
        </xdr:cNvPr>
        <xdr:cNvSpPr/>
      </xdr:nvSpPr>
      <xdr:spPr>
        <a:xfrm>
          <a:off x="2643415" y="1057728"/>
          <a:ext cx="8636000" cy="95794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34473</xdr:colOff>
      <xdr:row>7</xdr:row>
      <xdr:rowOff>42635</xdr:rowOff>
    </xdr:from>
    <xdr:to>
      <xdr:col>7</xdr:col>
      <xdr:colOff>59872</xdr:colOff>
      <xdr:row>10</xdr:row>
      <xdr:rowOff>61685</xdr:rowOff>
    </xdr:to>
    <xdr:sp macro="" textlink="">
      <xdr:nvSpPr>
        <xdr:cNvPr id="3" name="Rectangle: Rounded Corners 2">
          <a:extLst>
            <a:ext uri="{FF2B5EF4-FFF2-40B4-BE49-F238E27FC236}">
              <a16:creationId xmlns:a16="http://schemas.microsoft.com/office/drawing/2014/main" id="{96107BCF-17D8-F8F4-31C2-F6372EA2998B}"/>
            </a:ext>
          </a:extLst>
        </xdr:cNvPr>
        <xdr:cNvSpPr/>
      </xdr:nvSpPr>
      <xdr:spPr>
        <a:xfrm>
          <a:off x="3345544" y="1312635"/>
          <a:ext cx="1349828" cy="563336"/>
        </a:xfrm>
        <a:prstGeom prst="roundRect">
          <a:avLst/>
        </a:prstGeom>
        <a:solidFill>
          <a:schemeClr val="bg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15422</xdr:colOff>
      <xdr:row>7</xdr:row>
      <xdr:rowOff>42635</xdr:rowOff>
    </xdr:from>
    <xdr:to>
      <xdr:col>10</xdr:col>
      <xdr:colOff>40822</xdr:colOff>
      <xdr:row>10</xdr:row>
      <xdr:rowOff>61685</xdr:rowOff>
    </xdr:to>
    <xdr:sp macro="" textlink="">
      <xdr:nvSpPr>
        <xdr:cNvPr id="5" name="Rectangle: Rounded Corners 4">
          <a:extLst>
            <a:ext uri="{FF2B5EF4-FFF2-40B4-BE49-F238E27FC236}">
              <a16:creationId xmlns:a16="http://schemas.microsoft.com/office/drawing/2014/main" id="{FD1731CF-A2EC-466F-9F61-F66A6D563392}"/>
            </a:ext>
          </a:extLst>
        </xdr:cNvPr>
        <xdr:cNvSpPr/>
      </xdr:nvSpPr>
      <xdr:spPr>
        <a:xfrm>
          <a:off x="5313136" y="1312635"/>
          <a:ext cx="1349829" cy="563336"/>
        </a:xfrm>
        <a:prstGeom prst="roundRect">
          <a:avLst/>
        </a:prstGeom>
        <a:solidFill>
          <a:schemeClr val="bg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21772</xdr:colOff>
      <xdr:row>7</xdr:row>
      <xdr:rowOff>42635</xdr:rowOff>
    </xdr:from>
    <xdr:to>
      <xdr:col>13</xdr:col>
      <xdr:colOff>47172</xdr:colOff>
      <xdr:row>10</xdr:row>
      <xdr:rowOff>61685</xdr:rowOff>
    </xdr:to>
    <xdr:sp macro="" textlink="">
      <xdr:nvSpPr>
        <xdr:cNvPr id="6" name="Rectangle: Rounded Corners 5">
          <a:extLst>
            <a:ext uri="{FF2B5EF4-FFF2-40B4-BE49-F238E27FC236}">
              <a16:creationId xmlns:a16="http://schemas.microsoft.com/office/drawing/2014/main" id="{43EF3173-EE1B-417E-A787-4B311DD41C66}"/>
            </a:ext>
          </a:extLst>
        </xdr:cNvPr>
        <xdr:cNvSpPr/>
      </xdr:nvSpPr>
      <xdr:spPr>
        <a:xfrm>
          <a:off x="7306129" y="1312635"/>
          <a:ext cx="1349829" cy="563336"/>
        </a:xfrm>
        <a:prstGeom prst="roundRect">
          <a:avLst/>
        </a:prstGeom>
        <a:solidFill>
          <a:schemeClr val="bg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908</xdr:colOff>
      <xdr:row>7</xdr:row>
      <xdr:rowOff>42635</xdr:rowOff>
    </xdr:from>
    <xdr:to>
      <xdr:col>16</xdr:col>
      <xdr:colOff>28122</xdr:colOff>
      <xdr:row>10</xdr:row>
      <xdr:rowOff>61685</xdr:rowOff>
    </xdr:to>
    <xdr:sp macro="" textlink="">
      <xdr:nvSpPr>
        <xdr:cNvPr id="7" name="Rectangle: Rounded Corners 6">
          <a:extLst>
            <a:ext uri="{FF2B5EF4-FFF2-40B4-BE49-F238E27FC236}">
              <a16:creationId xmlns:a16="http://schemas.microsoft.com/office/drawing/2014/main" id="{DC97EADD-272A-447B-B5B8-7EAE50F02459}"/>
            </a:ext>
          </a:extLst>
        </xdr:cNvPr>
        <xdr:cNvSpPr/>
      </xdr:nvSpPr>
      <xdr:spPr>
        <a:xfrm>
          <a:off x="9271908" y="1312635"/>
          <a:ext cx="1351643" cy="563336"/>
        </a:xfrm>
        <a:prstGeom prst="roundRect">
          <a:avLst/>
        </a:prstGeom>
        <a:solidFill>
          <a:schemeClr val="bg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104323</xdr:colOff>
      <xdr:row>7</xdr:row>
      <xdr:rowOff>68641</xdr:rowOff>
    </xdr:from>
    <xdr:to>
      <xdr:col>7</xdr:col>
      <xdr:colOff>26117</xdr:colOff>
      <xdr:row>9</xdr:row>
      <xdr:rowOff>125791</xdr:rowOff>
    </xdr:to>
    <xdr:pic>
      <xdr:nvPicPr>
        <xdr:cNvPr id="8" name="Picture 7">
          <a:extLst>
            <a:ext uri="{FF2B5EF4-FFF2-40B4-BE49-F238E27FC236}">
              <a16:creationId xmlns:a16="http://schemas.microsoft.com/office/drawing/2014/main" id="{B62DBFF7-F847-1A20-DABC-5DF4AD6C72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15394" y="1338641"/>
          <a:ext cx="1246223" cy="420007"/>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129722</xdr:colOff>
      <xdr:row>7</xdr:row>
      <xdr:rowOff>68641</xdr:rowOff>
    </xdr:from>
    <xdr:to>
      <xdr:col>9</xdr:col>
      <xdr:colOff>605972</xdr:colOff>
      <xdr:row>9</xdr:row>
      <xdr:rowOff>157410</xdr:rowOff>
    </xdr:to>
    <xdr:pic>
      <xdr:nvPicPr>
        <xdr:cNvPr id="9" name="Picture 8">
          <a:extLst>
            <a:ext uri="{FF2B5EF4-FFF2-40B4-BE49-F238E27FC236}">
              <a16:creationId xmlns:a16="http://schemas.microsoft.com/office/drawing/2014/main" id="{08F0A128-FBA6-EDDF-CBD7-5A7C019958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7436" y="1338641"/>
          <a:ext cx="1138465" cy="451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180522</xdr:colOff>
      <xdr:row>7</xdr:row>
      <xdr:rowOff>68641</xdr:rowOff>
    </xdr:from>
    <xdr:to>
      <xdr:col>12</xdr:col>
      <xdr:colOff>529773</xdr:colOff>
      <xdr:row>10</xdr:row>
      <xdr:rowOff>13605</xdr:rowOff>
    </xdr:to>
    <xdr:pic>
      <xdr:nvPicPr>
        <xdr:cNvPr id="10" name="Picture 9">
          <a:extLst>
            <a:ext uri="{FF2B5EF4-FFF2-40B4-BE49-F238E27FC236}">
              <a16:creationId xmlns:a16="http://schemas.microsoft.com/office/drawing/2014/main" id="{FEBBCE23-0AFB-0997-EEB4-BAB5E1DEF0C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64879" y="1338641"/>
          <a:ext cx="1011465" cy="48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90716</xdr:colOff>
      <xdr:row>7</xdr:row>
      <xdr:rowOff>132141</xdr:rowOff>
    </xdr:from>
    <xdr:to>
      <xdr:col>15</xdr:col>
      <xdr:colOff>630466</xdr:colOff>
      <xdr:row>10</xdr:row>
      <xdr:rowOff>7862</xdr:rowOff>
    </xdr:to>
    <xdr:pic>
      <xdr:nvPicPr>
        <xdr:cNvPr id="11" name="Picture 10">
          <a:extLst>
            <a:ext uri="{FF2B5EF4-FFF2-40B4-BE49-F238E27FC236}">
              <a16:creationId xmlns:a16="http://schemas.microsoft.com/office/drawing/2014/main" id="{711852B9-DC87-54AA-5326-94F0287A1EE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61716" y="1402141"/>
          <a:ext cx="1201964" cy="420007"/>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esh.T" refreshedDate="46188.716442129633" createdVersion="8" refreshedVersion="8" minRefreshableVersion="3" recordCount="250" xr:uid="{ABC0FC96-CD6A-4AE4-9F1C-C79E4709B301}">
  <cacheSource type="worksheet">
    <worksheetSource name="tblBookings"/>
  </cacheSource>
  <cacheFields count="14">
    <cacheField name="BookingID" numFmtId="0">
      <sharedItems count="250">
        <s v="BK0001"/>
        <s v="BK0002"/>
        <s v="BK0003"/>
        <s v="BK0004"/>
        <s v="BK0005"/>
        <s v="BK0006"/>
        <s v="BK0007"/>
        <s v="BK0008"/>
        <s v="BK0009"/>
        <s v="BK0010"/>
        <s v="BK0011"/>
        <s v="BK0012"/>
        <s v="BK0013"/>
        <s v="BK0014"/>
        <s v="BK0015"/>
        <s v="BK0016"/>
        <s v="BK0017"/>
        <s v="BK0018"/>
        <s v="BK0019"/>
        <s v="BK0020"/>
        <s v="BK0021"/>
        <s v="BK0022"/>
        <s v="BK0023"/>
        <s v="BK0024"/>
        <s v="BK0025"/>
        <s v="BK0026"/>
        <s v="BK0027"/>
        <s v="BK0028"/>
        <s v="BK0029"/>
        <s v="BK0030"/>
        <s v="BK0031"/>
        <s v="BK0032"/>
        <s v="BK0033"/>
        <s v="BK0034"/>
        <s v="BK0035"/>
        <s v="BK0036"/>
        <s v="BK0037"/>
        <s v="BK0038"/>
        <s v="BK0039"/>
        <s v="BK0040"/>
        <s v="BK0041"/>
        <s v="BK0042"/>
        <s v="BK0043"/>
        <s v="BK0044"/>
        <s v="BK0045"/>
        <s v="BK0046"/>
        <s v="BK0047"/>
        <s v="BK0048"/>
        <s v="BK0049"/>
        <s v="BK0050"/>
        <s v="BK0051"/>
        <s v="BK0052"/>
        <s v="BK0053"/>
        <s v="BK0054"/>
        <s v="BK0055"/>
        <s v="BK0056"/>
        <s v="BK0057"/>
        <s v="BK0058"/>
        <s v="BK0059"/>
        <s v="BK0060"/>
        <s v="BK0061"/>
        <s v="BK0062"/>
        <s v="BK0063"/>
        <s v="BK0064"/>
        <s v="BK0065"/>
        <s v="BK0066"/>
        <s v="BK0067"/>
        <s v="BK0068"/>
        <s v="BK0069"/>
        <s v="BK0070"/>
        <s v="BK0071"/>
        <s v="BK0072"/>
        <s v="BK0073"/>
        <s v="BK0074"/>
        <s v="BK0075"/>
        <s v="BK0076"/>
        <s v="BK0077"/>
        <s v="BK0078"/>
        <s v="BK0079"/>
        <s v="BK0080"/>
        <s v="BK0081"/>
        <s v="BK0082"/>
        <s v="BK0083"/>
        <s v="BK0084"/>
        <s v="BK0085"/>
        <s v="BK0086"/>
        <s v="BK0087"/>
        <s v="BK0088"/>
        <s v="BK0089"/>
        <s v="BK0090"/>
        <s v="BK0091"/>
        <s v="BK0092"/>
        <s v="BK0093"/>
        <s v="BK0094"/>
        <s v="BK0095"/>
        <s v="BK0096"/>
        <s v="BK0097"/>
        <s v="BK0098"/>
        <s v="BK0099"/>
        <s v="BK0100"/>
        <s v="BK0101"/>
        <s v="BK0102"/>
        <s v="BK0103"/>
        <s v="BK0104"/>
        <s v="BK0105"/>
        <s v="BK0106"/>
        <s v="BK0107"/>
        <s v="BK0108"/>
        <s v="BK0109"/>
        <s v="BK0110"/>
        <s v="BK0111"/>
        <s v="BK0112"/>
        <s v="BK0113"/>
        <s v="BK0114"/>
        <s v="BK0115"/>
        <s v="BK0116"/>
        <s v="BK0117"/>
        <s v="BK0118"/>
        <s v="BK0119"/>
        <s v="BK0120"/>
        <s v="BK0121"/>
        <s v="BK0122"/>
        <s v="BK0123"/>
        <s v="BK0124"/>
        <s v="BK0125"/>
        <s v="BK0126"/>
        <s v="BK0127"/>
        <s v="BK0128"/>
        <s v="BK0129"/>
        <s v="BK0130"/>
        <s v="BK0131"/>
        <s v="BK0132"/>
        <s v="BK0133"/>
        <s v="BK0134"/>
        <s v="BK0135"/>
        <s v="BK0136"/>
        <s v="BK0137"/>
        <s v="BK0138"/>
        <s v="BK0139"/>
        <s v="BK0140"/>
        <s v="BK0141"/>
        <s v="BK0142"/>
        <s v="BK0143"/>
        <s v="BK0144"/>
        <s v="BK0145"/>
        <s v="BK0146"/>
        <s v="BK0147"/>
        <s v="BK0148"/>
        <s v="BK0149"/>
        <s v="BK0150"/>
        <s v="BK0151"/>
        <s v="BK0152"/>
        <s v="BK0153"/>
        <s v="BK0154"/>
        <s v="BK0155"/>
        <s v="BK0156"/>
        <s v="BK0157"/>
        <s v="BK0158"/>
        <s v="BK0159"/>
        <s v="BK0160"/>
        <s v="BK0161"/>
        <s v="BK0162"/>
        <s v="BK0163"/>
        <s v="BK0164"/>
        <s v="BK0165"/>
        <s v="BK0166"/>
        <s v="BK0167"/>
        <s v="BK0168"/>
        <s v="BK0169"/>
        <s v="BK0170"/>
        <s v="BK0171"/>
        <s v="BK0172"/>
        <s v="BK0173"/>
        <s v="BK0174"/>
        <s v="BK0175"/>
        <s v="BK0176"/>
        <s v="BK0177"/>
        <s v="BK0178"/>
        <s v="BK0179"/>
        <s v="BK0180"/>
        <s v="BK0181"/>
        <s v="BK0182"/>
        <s v="BK0183"/>
        <s v="BK0184"/>
        <s v="BK0185"/>
        <s v="BK0186"/>
        <s v="BK0187"/>
        <s v="BK0188"/>
        <s v="BK0189"/>
        <s v="BK0190"/>
        <s v="BK0191"/>
        <s v="BK0192"/>
        <s v="BK0193"/>
        <s v="BK0194"/>
        <s v="BK0195"/>
        <s v="BK0196"/>
        <s v="BK0197"/>
        <s v="BK0198"/>
        <s v="BK0199"/>
        <s v="BK0200"/>
        <s v="BK0201"/>
        <s v="BK0202"/>
        <s v="BK0203"/>
        <s v="BK0204"/>
        <s v="BK0205"/>
        <s v="BK0206"/>
        <s v="BK0207"/>
        <s v="BK0208"/>
        <s v="BK0209"/>
        <s v="BK0210"/>
        <s v="BK0211"/>
        <s v="BK0212"/>
        <s v="BK0213"/>
        <s v="BK0214"/>
        <s v="BK0215"/>
        <s v="BK0216"/>
        <s v="BK0217"/>
        <s v="BK0218"/>
        <s v="BK0219"/>
        <s v="BK0220"/>
        <s v="BK0221"/>
        <s v="BK0222"/>
        <s v="BK0223"/>
        <s v="BK0224"/>
        <s v="BK0225"/>
        <s v="BK0226"/>
        <s v="BK0227"/>
        <s v="BK0228"/>
        <s v="BK0229"/>
        <s v="BK0230"/>
        <s v="BK0231"/>
        <s v="BK0232"/>
        <s v="BK0233"/>
        <s v="BK0234"/>
        <s v="BK0235"/>
        <s v="BK0236"/>
        <s v="BK0237"/>
        <s v="BK0238"/>
        <s v="BK0239"/>
        <s v="BK0240"/>
        <s v="BK0241"/>
        <s v="BK0242"/>
        <s v="BK0243"/>
        <s v="BK0244"/>
        <s v="BK0245"/>
        <s v="BK0246"/>
        <s v="BK0247"/>
        <s v="BK0248"/>
        <s v="BK0249"/>
        <s v="BK0250"/>
      </sharedItems>
    </cacheField>
    <cacheField name="RoomNo" numFmtId="0">
      <sharedItems containsSemiMixedTypes="0" containsString="0" containsNumber="1" containsInteger="1" minValue="201" maxValue="206" count="6">
        <n v="201"/>
        <n v="203"/>
        <n v="205"/>
        <n v="204"/>
        <n v="202"/>
        <n v="206"/>
      </sharedItems>
    </cacheField>
    <cacheField name="GuestName" numFmtId="0">
      <sharedItems/>
    </cacheField>
    <cacheField name="CheckIn" numFmtId="0">
      <sharedItems/>
    </cacheField>
    <cacheField name="CheckOut" numFmtId="0">
      <sharedItems/>
    </cacheField>
    <cacheField name="Guests" numFmtId="0">
      <sharedItems containsSemiMixedTypes="0" containsString="0" containsNumber="1" containsInteger="1" minValue="2" maxValue="4" count="3">
        <n v="2"/>
        <n v="4"/>
        <n v="3"/>
      </sharedItems>
    </cacheField>
    <cacheField name="Phone" numFmtId="0">
      <sharedItems containsSemiMixedTypes="0" containsString="0" containsNumber="1" containsInteger="1" minValue="9012345678" maxValue="9903456789"/>
    </cacheField>
    <cacheField name="TotalAmount" numFmtId="0">
      <sharedItems containsSemiMixedTypes="0" containsString="0" containsNumber="1" containsInteger="1" minValue="4398" maxValue="29995"/>
    </cacheField>
    <cacheField name="PaymentStatus" numFmtId="0">
      <sharedItems count="2">
        <s v="Paid"/>
        <s v="Pending"/>
      </sharedItems>
    </cacheField>
    <cacheField name="Stay Duration" numFmtId="0">
      <sharedItems containsSemiMixedTypes="0" containsString="0" containsNumber="1" containsInteger="1" minValue="2" maxValue="5"/>
    </cacheField>
    <cacheField name="Year" numFmtId="0">
      <sharedItems containsSemiMixedTypes="0" containsString="0" containsNumber="1" containsInteger="1" minValue="2026" maxValue="2029" count="4">
        <n v="2026"/>
        <n v="2027"/>
        <n v="2028"/>
        <n v="2029"/>
      </sharedItems>
    </cacheField>
    <cacheField name="Month" numFmtId="0">
      <sharedItems count="12">
        <s v="Jan"/>
        <s v="Feb"/>
        <s v="Mar"/>
        <s v="Apr"/>
        <s v="May"/>
        <s v="Jun"/>
        <s v="Jul"/>
        <s v="Aug"/>
        <s v="Sep"/>
        <s v="Oct"/>
        <s v="Nov"/>
        <s v="Dec"/>
      </sharedItems>
    </cacheField>
    <cacheField name="Month Number" numFmtId="0">
      <sharedItems containsSemiMixedTypes="0" containsString="0" containsNumber="1" containsInteger="1" minValue="1" maxValue="12"/>
    </cacheField>
    <cacheField name="Quarter" numFmtId="0">
      <sharedItems/>
    </cacheField>
  </cacheFields>
  <extLst>
    <ext xmlns:x14="http://schemas.microsoft.com/office/spreadsheetml/2009/9/main" uri="{725AE2AE-9491-48be-B2B4-4EB974FC3084}">
      <x14:pivotCacheDefinition pivotCacheId="1789889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s v="Rahul Sharma"/>
    <s v="05-01-26"/>
    <s v="08-01-26"/>
    <x v="0"/>
    <n v="9876543210"/>
    <n v="8697"/>
    <x v="0"/>
    <n v="3"/>
    <x v="0"/>
    <x v="0"/>
    <n v="1"/>
    <s v="Q1"/>
  </r>
  <r>
    <x v="1"/>
    <x v="1"/>
    <s v="Priya Patel"/>
    <s v="10-01-26"/>
    <s v="13-01-26"/>
    <x v="1"/>
    <n v="9123456789"/>
    <n v="11097"/>
    <x v="1"/>
    <n v="3"/>
    <x v="0"/>
    <x v="0"/>
    <n v="1"/>
    <s v="Q1"/>
  </r>
  <r>
    <x v="2"/>
    <x v="2"/>
    <s v="Amit Kumar"/>
    <s v="15-01-26"/>
    <s v="17-01-26"/>
    <x v="0"/>
    <n v="9345678901"/>
    <n v="4398"/>
    <x v="0"/>
    <n v="2"/>
    <x v="0"/>
    <x v="0"/>
    <n v="1"/>
    <s v="Q1"/>
  </r>
  <r>
    <x v="3"/>
    <x v="3"/>
    <s v="Sneha Reddy"/>
    <s v="20-01-26"/>
    <s v="24-01-26"/>
    <x v="0"/>
    <n v="9456789012"/>
    <n v="16796"/>
    <x v="0"/>
    <n v="4"/>
    <x v="0"/>
    <x v="0"/>
    <n v="1"/>
    <s v="Q1"/>
  </r>
  <r>
    <x v="4"/>
    <x v="4"/>
    <s v="Vikram Gupta"/>
    <s v="25-01-26"/>
    <s v="28-01-26"/>
    <x v="0"/>
    <n v="9567890123"/>
    <n v="7497"/>
    <x v="1"/>
    <n v="3"/>
    <x v="0"/>
    <x v="0"/>
    <n v="1"/>
    <s v="Q1"/>
  </r>
  <r>
    <x v="5"/>
    <x v="5"/>
    <s v="Meera Nair"/>
    <s v="01-02-26"/>
    <s v="04-02-26"/>
    <x v="2"/>
    <n v="9678901234"/>
    <n v="17997"/>
    <x v="0"/>
    <n v="3"/>
    <x v="0"/>
    <x v="1"/>
    <n v="2"/>
    <s v="Q1"/>
  </r>
  <r>
    <x v="6"/>
    <x v="0"/>
    <s v="Aditya Singh"/>
    <s v="05-02-26"/>
    <s v="07-02-26"/>
    <x v="0"/>
    <n v="9789012345"/>
    <n v="5798"/>
    <x v="1"/>
    <n v="2"/>
    <x v="0"/>
    <x v="1"/>
    <n v="2"/>
    <s v="Q1"/>
  </r>
  <r>
    <x v="7"/>
    <x v="1"/>
    <s v="Kavya Rao"/>
    <s v="10-02-26"/>
    <s v="14-02-26"/>
    <x v="1"/>
    <n v="9890123456"/>
    <n v="14796"/>
    <x v="0"/>
    <n v="4"/>
    <x v="0"/>
    <x v="1"/>
    <n v="2"/>
    <s v="Q1"/>
  </r>
  <r>
    <x v="8"/>
    <x v="2"/>
    <s v="Rohan Mehta"/>
    <s v="15-02-26"/>
    <s v="18-02-26"/>
    <x v="0"/>
    <n v="9901234567"/>
    <n v="6597"/>
    <x v="0"/>
    <n v="3"/>
    <x v="0"/>
    <x v="1"/>
    <n v="2"/>
    <s v="Q1"/>
  </r>
  <r>
    <x v="9"/>
    <x v="3"/>
    <s v="Divya Kapoor"/>
    <s v="20-02-26"/>
    <s v="22-02-26"/>
    <x v="0"/>
    <n v="9012345678"/>
    <n v="8398"/>
    <x v="1"/>
    <n v="2"/>
    <x v="0"/>
    <x v="1"/>
    <n v="2"/>
    <s v="Q1"/>
  </r>
  <r>
    <x v="10"/>
    <x v="4"/>
    <s v="Neha Jain"/>
    <s v="01-03-26"/>
    <s v="04-03-26"/>
    <x v="0"/>
    <n v="9123456701"/>
    <n v="7497"/>
    <x v="0"/>
    <n v="3"/>
    <x v="0"/>
    <x v="2"/>
    <n v="3"/>
    <s v="Q1"/>
  </r>
  <r>
    <x v="11"/>
    <x v="0"/>
    <s v="Arjun Verma"/>
    <s v="05-03-26"/>
    <s v="09-03-26"/>
    <x v="0"/>
    <n v="9234567012"/>
    <n v="11596"/>
    <x v="1"/>
    <n v="4"/>
    <x v="0"/>
    <x v="2"/>
    <n v="3"/>
    <s v="Q1"/>
  </r>
  <r>
    <x v="12"/>
    <x v="5"/>
    <s v="Nikhil Das"/>
    <s v="10-03-26"/>
    <s v="12-03-26"/>
    <x v="0"/>
    <n v="9345670123"/>
    <n v="11998"/>
    <x v="0"/>
    <n v="2"/>
    <x v="0"/>
    <x v="2"/>
    <n v="3"/>
    <s v="Q1"/>
  </r>
  <r>
    <x v="13"/>
    <x v="2"/>
    <s v="Aisha Bhat"/>
    <s v="15-03-26"/>
    <s v="18-03-26"/>
    <x v="0"/>
    <n v="9456701234"/>
    <n v="6597"/>
    <x v="1"/>
    <n v="3"/>
    <x v="0"/>
    <x v="2"/>
    <n v="3"/>
    <s v="Q1"/>
  </r>
  <r>
    <x v="14"/>
    <x v="1"/>
    <s v="Sanjay Yadav"/>
    <s v="20-03-26"/>
    <s v="23-03-26"/>
    <x v="1"/>
    <n v="9567012345"/>
    <n v="11097"/>
    <x v="0"/>
    <n v="3"/>
    <x v="0"/>
    <x v="2"/>
    <n v="3"/>
    <s v="Q1"/>
  </r>
  <r>
    <x v="15"/>
    <x v="3"/>
    <s v="Pooja Iyer"/>
    <s v="25-03-26"/>
    <s v="29-03-26"/>
    <x v="0"/>
    <n v="9670123456"/>
    <n v="16796"/>
    <x v="0"/>
    <n v="4"/>
    <x v="0"/>
    <x v="2"/>
    <n v="3"/>
    <s v="Q1"/>
  </r>
  <r>
    <x v="16"/>
    <x v="0"/>
    <s v="Ishita Rao"/>
    <s v="01-04-26"/>
    <s v="03-04-26"/>
    <x v="0"/>
    <n v="9781234567"/>
    <n v="5798"/>
    <x v="1"/>
    <n v="2"/>
    <x v="0"/>
    <x v="3"/>
    <n v="4"/>
    <s v="Q2"/>
  </r>
  <r>
    <x v="17"/>
    <x v="4"/>
    <s v="Karthik Sharma"/>
    <s v="05-04-26"/>
    <s v="08-04-26"/>
    <x v="0"/>
    <n v="9892345678"/>
    <n v="7497"/>
    <x v="0"/>
    <n v="3"/>
    <x v="0"/>
    <x v="3"/>
    <n v="4"/>
    <s v="Q2"/>
  </r>
  <r>
    <x v="18"/>
    <x v="5"/>
    <s v="Ananya Gupta"/>
    <s v="10-04-26"/>
    <s v="14-04-26"/>
    <x v="2"/>
    <n v="9903456789"/>
    <n v="23996"/>
    <x v="1"/>
    <n v="4"/>
    <x v="0"/>
    <x v="3"/>
    <n v="4"/>
    <s v="Q2"/>
  </r>
  <r>
    <x v="19"/>
    <x v="1"/>
    <s v="Varun Kumar"/>
    <s v="15-04-26"/>
    <s v="18-04-26"/>
    <x v="1"/>
    <n v="9014567890"/>
    <n v="11097"/>
    <x v="0"/>
    <n v="3"/>
    <x v="0"/>
    <x v="3"/>
    <n v="4"/>
    <s v="Q2"/>
  </r>
  <r>
    <x v="20"/>
    <x v="2"/>
    <s v="Meera Singh"/>
    <s v="20-04-26"/>
    <s v="22-04-26"/>
    <x v="0"/>
    <n v="9125678901"/>
    <n v="4398"/>
    <x v="0"/>
    <n v="2"/>
    <x v="0"/>
    <x v="3"/>
    <n v="4"/>
    <s v="Q2"/>
  </r>
  <r>
    <x v="21"/>
    <x v="3"/>
    <s v="Rahul Jain"/>
    <s v="25-04-26"/>
    <s v="28-04-26"/>
    <x v="0"/>
    <n v="9236789012"/>
    <n v="12597"/>
    <x v="1"/>
    <n v="3"/>
    <x v="0"/>
    <x v="3"/>
    <n v="4"/>
    <s v="Q2"/>
  </r>
  <r>
    <x v="22"/>
    <x v="0"/>
    <s v="Divya Patel"/>
    <s v="01-05-26"/>
    <s v="04-05-26"/>
    <x v="0"/>
    <n v="9347890123"/>
    <n v="8697"/>
    <x v="0"/>
    <n v="3"/>
    <x v="0"/>
    <x v="4"/>
    <n v="5"/>
    <s v="Q2"/>
  </r>
  <r>
    <x v="23"/>
    <x v="4"/>
    <s v="Nikhil Sharma"/>
    <s v="05-05-26"/>
    <s v="07-05-26"/>
    <x v="0"/>
    <n v="9458901234"/>
    <n v="4998"/>
    <x v="0"/>
    <n v="2"/>
    <x v="0"/>
    <x v="4"/>
    <n v="5"/>
    <s v="Q2"/>
  </r>
  <r>
    <x v="24"/>
    <x v="5"/>
    <s v="Sneha Kapoor"/>
    <s v="10-05-26"/>
    <s v="13-05-26"/>
    <x v="2"/>
    <n v="9569012345"/>
    <n v="17997"/>
    <x v="1"/>
    <n v="3"/>
    <x v="0"/>
    <x v="4"/>
    <n v="5"/>
    <s v="Q2"/>
  </r>
  <r>
    <x v="25"/>
    <x v="1"/>
    <s v="Amit Verma"/>
    <s v="15-05-26"/>
    <s v="19-05-26"/>
    <x v="1"/>
    <n v="9670123987"/>
    <n v="14796"/>
    <x v="0"/>
    <n v="4"/>
    <x v="0"/>
    <x v="4"/>
    <n v="5"/>
    <s v="Q2"/>
  </r>
  <r>
    <x v="26"/>
    <x v="2"/>
    <s v="Priya Rao"/>
    <s v="20-05-26"/>
    <s v="23-05-26"/>
    <x v="0"/>
    <n v="9781234098"/>
    <n v="6597"/>
    <x v="1"/>
    <n v="3"/>
    <x v="0"/>
    <x v="4"/>
    <n v="5"/>
    <s v="Q2"/>
  </r>
  <r>
    <x v="27"/>
    <x v="0"/>
    <s v="Rohan Gupta"/>
    <s v="25-05-26"/>
    <s v="27-05-26"/>
    <x v="0"/>
    <n v="9892345109"/>
    <n v="5798"/>
    <x v="0"/>
    <n v="2"/>
    <x v="0"/>
    <x v="4"/>
    <n v="5"/>
    <s v="Q2"/>
  </r>
  <r>
    <x v="28"/>
    <x v="3"/>
    <s v="Ananya Nair"/>
    <s v="01-06-26"/>
    <s v="05-06-26"/>
    <x v="0"/>
    <n v="9903456210"/>
    <n v="16796"/>
    <x v="0"/>
    <n v="4"/>
    <x v="0"/>
    <x v="5"/>
    <n v="6"/>
    <s v="Q2"/>
  </r>
  <r>
    <x v="29"/>
    <x v="4"/>
    <s v="Sanjay Das"/>
    <s v="05-06-26"/>
    <s v="08-06-26"/>
    <x v="0"/>
    <n v="9014567321"/>
    <n v="7497"/>
    <x v="1"/>
    <n v="3"/>
    <x v="0"/>
    <x v="5"/>
    <n v="6"/>
    <s v="Q2"/>
  </r>
  <r>
    <x v="30"/>
    <x v="1"/>
    <s v="Kavya Mehta"/>
    <s v="10-06-26"/>
    <s v="12-06-26"/>
    <x v="2"/>
    <n v="9125678432"/>
    <n v="7398"/>
    <x v="0"/>
    <n v="2"/>
    <x v="0"/>
    <x v="5"/>
    <n v="6"/>
    <s v="Q2"/>
  </r>
  <r>
    <x v="31"/>
    <x v="5"/>
    <s v="Arjun Singh"/>
    <s v="15-06-26"/>
    <s v="20-06-26"/>
    <x v="2"/>
    <n v="9236789543"/>
    <n v="29995"/>
    <x v="0"/>
    <n v="5"/>
    <x v="0"/>
    <x v="5"/>
    <n v="6"/>
    <s v="Q2"/>
  </r>
  <r>
    <x v="32"/>
    <x v="2"/>
    <s v="Neha Bhat"/>
    <s v="20-06-26"/>
    <s v="22-06-26"/>
    <x v="0"/>
    <n v="9347890654"/>
    <n v="4398"/>
    <x v="1"/>
    <n v="2"/>
    <x v="0"/>
    <x v="5"/>
    <n v="6"/>
    <s v="Q2"/>
  </r>
  <r>
    <x v="33"/>
    <x v="0"/>
    <s v="Vikram Iyer"/>
    <s v="25-06-26"/>
    <s v="28-06-26"/>
    <x v="0"/>
    <n v="9458901765"/>
    <n v="8697"/>
    <x v="0"/>
    <n v="3"/>
    <x v="0"/>
    <x v="5"/>
    <n v="6"/>
    <s v="Q2"/>
  </r>
  <r>
    <x v="34"/>
    <x v="3"/>
    <s v="Pooja Sharma"/>
    <s v="01-07-26"/>
    <s v="03-07-26"/>
    <x v="0"/>
    <n v="9569012876"/>
    <n v="8398"/>
    <x v="1"/>
    <n v="2"/>
    <x v="0"/>
    <x v="6"/>
    <n v="7"/>
    <s v="Q3"/>
  </r>
  <r>
    <x v="35"/>
    <x v="4"/>
    <s v="Aisha Patel"/>
    <s v="05-07-26"/>
    <s v="08-07-26"/>
    <x v="0"/>
    <n v="9670123987"/>
    <n v="7497"/>
    <x v="0"/>
    <n v="3"/>
    <x v="0"/>
    <x v="6"/>
    <n v="7"/>
    <s v="Q3"/>
  </r>
  <r>
    <x v="36"/>
    <x v="1"/>
    <s v="Karthik Rao"/>
    <s v="10-07-26"/>
    <s v="14-07-26"/>
    <x v="1"/>
    <n v="9781234098"/>
    <n v="14796"/>
    <x v="0"/>
    <n v="4"/>
    <x v="0"/>
    <x v="6"/>
    <n v="7"/>
    <s v="Q3"/>
  </r>
  <r>
    <x v="37"/>
    <x v="5"/>
    <s v="Divya Gupta"/>
    <s v="15-07-26"/>
    <s v="18-07-26"/>
    <x v="2"/>
    <n v="9892345109"/>
    <n v="17997"/>
    <x v="1"/>
    <n v="3"/>
    <x v="0"/>
    <x v="6"/>
    <n v="7"/>
    <s v="Q3"/>
  </r>
  <r>
    <x v="38"/>
    <x v="2"/>
    <s v="Aditya Jain"/>
    <s v="20-07-26"/>
    <s v="23-07-26"/>
    <x v="0"/>
    <n v="9903456210"/>
    <n v="6597"/>
    <x v="0"/>
    <n v="3"/>
    <x v="0"/>
    <x v="6"/>
    <n v="7"/>
    <s v="Q3"/>
  </r>
  <r>
    <x v="39"/>
    <x v="0"/>
    <s v="Meera Verma"/>
    <s v="25-07-26"/>
    <s v="27-07-26"/>
    <x v="0"/>
    <n v="9014567321"/>
    <n v="5798"/>
    <x v="1"/>
    <n v="2"/>
    <x v="0"/>
    <x v="6"/>
    <n v="7"/>
    <s v="Q3"/>
  </r>
  <r>
    <x v="40"/>
    <x v="3"/>
    <s v="Rahul Nair"/>
    <s v="01-08-26"/>
    <s v="04-08-26"/>
    <x v="0"/>
    <n v="9125678432"/>
    <n v="12597"/>
    <x v="0"/>
    <n v="3"/>
    <x v="0"/>
    <x v="7"/>
    <n v="8"/>
    <s v="Q3"/>
  </r>
  <r>
    <x v="41"/>
    <x v="4"/>
    <s v="Sneha Das"/>
    <s v="05-08-26"/>
    <s v="09-08-26"/>
    <x v="0"/>
    <n v="9236789543"/>
    <n v="9996"/>
    <x v="0"/>
    <n v="4"/>
    <x v="0"/>
    <x v="7"/>
    <n v="8"/>
    <s v="Q3"/>
  </r>
  <r>
    <x v="42"/>
    <x v="1"/>
    <s v="Varun Sharma"/>
    <s v="10-08-26"/>
    <s v="13-08-26"/>
    <x v="1"/>
    <n v="9347890654"/>
    <n v="11097"/>
    <x v="1"/>
    <n v="3"/>
    <x v="0"/>
    <x v="7"/>
    <n v="8"/>
    <s v="Q3"/>
  </r>
  <r>
    <x v="43"/>
    <x v="5"/>
    <s v="Priya Kapoor"/>
    <s v="15-08-26"/>
    <s v="17-08-26"/>
    <x v="0"/>
    <n v="9458901765"/>
    <n v="11998"/>
    <x v="0"/>
    <n v="2"/>
    <x v="0"/>
    <x v="7"/>
    <n v="8"/>
    <s v="Q3"/>
  </r>
  <r>
    <x v="44"/>
    <x v="2"/>
    <s v="Nikhil Patel"/>
    <s v="20-08-26"/>
    <s v="22-08-26"/>
    <x v="0"/>
    <n v="9569012876"/>
    <n v="4398"/>
    <x v="0"/>
    <n v="2"/>
    <x v="0"/>
    <x v="7"/>
    <n v="8"/>
    <s v="Q3"/>
  </r>
  <r>
    <x v="45"/>
    <x v="0"/>
    <s v="Amit Gupta"/>
    <s v="25-08-26"/>
    <s v="29-08-26"/>
    <x v="0"/>
    <n v="9670123987"/>
    <n v="11596"/>
    <x v="1"/>
    <n v="4"/>
    <x v="0"/>
    <x v="7"/>
    <n v="8"/>
    <s v="Q3"/>
  </r>
  <r>
    <x v="46"/>
    <x v="3"/>
    <s v="Ishita Singh"/>
    <s v="01-09-26"/>
    <s v="05-09-26"/>
    <x v="0"/>
    <n v="9781234098"/>
    <n v="16796"/>
    <x v="0"/>
    <n v="4"/>
    <x v="0"/>
    <x v="8"/>
    <n v="9"/>
    <s v="Q3"/>
  </r>
  <r>
    <x v="47"/>
    <x v="4"/>
    <s v="Rohan Kumar"/>
    <s v="05-09-26"/>
    <s v="08-09-26"/>
    <x v="0"/>
    <n v="9892345109"/>
    <n v="7497"/>
    <x v="1"/>
    <n v="3"/>
    <x v="0"/>
    <x v="8"/>
    <n v="9"/>
    <s v="Q3"/>
  </r>
  <r>
    <x v="48"/>
    <x v="1"/>
    <s v="Ananya Mehta"/>
    <s v="10-09-26"/>
    <s v="12-09-26"/>
    <x v="1"/>
    <n v="9903456210"/>
    <n v="7398"/>
    <x v="0"/>
    <n v="2"/>
    <x v="0"/>
    <x v="8"/>
    <n v="9"/>
    <s v="Q3"/>
  </r>
  <r>
    <x v="49"/>
    <x v="5"/>
    <s v="Kavya Jain"/>
    <s v="15-09-26"/>
    <s v="19-09-26"/>
    <x v="2"/>
    <n v="9014567321"/>
    <n v="23996"/>
    <x v="0"/>
    <n v="4"/>
    <x v="0"/>
    <x v="8"/>
    <n v="9"/>
    <s v="Q3"/>
  </r>
  <r>
    <x v="50"/>
    <x v="2"/>
    <s v="Arjun Rao"/>
    <s v="20-09-26"/>
    <s v="23-09-26"/>
    <x v="0"/>
    <n v="9123457811"/>
    <n v="6597"/>
    <x v="0"/>
    <n v="3"/>
    <x v="0"/>
    <x v="8"/>
    <n v="9"/>
    <s v="Q3"/>
  </r>
  <r>
    <x v="51"/>
    <x v="0"/>
    <s v="Priya Sharma"/>
    <s v="25-09-26"/>
    <s v="28-09-26"/>
    <x v="0"/>
    <n v="9234568922"/>
    <n v="8697"/>
    <x v="1"/>
    <n v="3"/>
    <x v="0"/>
    <x v="8"/>
    <n v="9"/>
    <s v="Q3"/>
  </r>
  <r>
    <x v="52"/>
    <x v="3"/>
    <s v="Vikram Patel"/>
    <s v="01-10-26"/>
    <s v="04-10-26"/>
    <x v="0"/>
    <n v="9345679033"/>
    <n v="12597"/>
    <x v="0"/>
    <n v="3"/>
    <x v="0"/>
    <x v="9"/>
    <n v="10"/>
    <s v="Q4"/>
  </r>
  <r>
    <x v="53"/>
    <x v="4"/>
    <s v="Sneha Gupta"/>
    <s v="05-10-26"/>
    <s v="08-10-26"/>
    <x v="0"/>
    <n v="9456780144"/>
    <n v="7497"/>
    <x v="0"/>
    <n v="3"/>
    <x v="0"/>
    <x v="9"/>
    <n v="10"/>
    <s v="Q4"/>
  </r>
  <r>
    <x v="54"/>
    <x v="1"/>
    <s v="Rohan Singh"/>
    <s v="10-10-26"/>
    <s v="14-10-26"/>
    <x v="1"/>
    <n v="9567891255"/>
    <n v="14796"/>
    <x v="1"/>
    <n v="4"/>
    <x v="0"/>
    <x v="9"/>
    <n v="10"/>
    <s v="Q4"/>
  </r>
  <r>
    <x v="55"/>
    <x v="5"/>
    <s v="Divya Nair"/>
    <s v="15-10-26"/>
    <s v="18-10-26"/>
    <x v="2"/>
    <n v="9678902366"/>
    <n v="17997"/>
    <x v="0"/>
    <n v="3"/>
    <x v="0"/>
    <x v="9"/>
    <n v="10"/>
    <s v="Q4"/>
  </r>
  <r>
    <x v="56"/>
    <x v="2"/>
    <s v="Amit Mehta"/>
    <s v="20-10-26"/>
    <s v="22-10-26"/>
    <x v="0"/>
    <n v="9789013477"/>
    <n v="4398"/>
    <x v="0"/>
    <n v="2"/>
    <x v="0"/>
    <x v="9"/>
    <n v="10"/>
    <s v="Q4"/>
  </r>
  <r>
    <x v="57"/>
    <x v="0"/>
    <s v="Kavya Jain"/>
    <s v="25-10-26"/>
    <s v="29-10-26"/>
    <x v="0"/>
    <n v="9890124588"/>
    <n v="11596"/>
    <x v="1"/>
    <n v="4"/>
    <x v="0"/>
    <x v="9"/>
    <n v="10"/>
    <s v="Q4"/>
  </r>
  <r>
    <x v="58"/>
    <x v="3"/>
    <s v="Aditya Verma"/>
    <s v="01-11-26"/>
    <s v="03-11-26"/>
    <x v="0"/>
    <n v="9901235699"/>
    <n v="8398"/>
    <x v="0"/>
    <n v="2"/>
    <x v="0"/>
    <x v="10"/>
    <n v="11"/>
    <s v="Q4"/>
  </r>
  <r>
    <x v="59"/>
    <x v="4"/>
    <s v="Neha Kapoor"/>
    <s v="05-11-26"/>
    <s v="09-11-26"/>
    <x v="0"/>
    <n v="9012346700"/>
    <n v="9996"/>
    <x v="1"/>
    <n v="4"/>
    <x v="0"/>
    <x v="10"/>
    <n v="11"/>
    <s v="Q4"/>
  </r>
  <r>
    <x v="60"/>
    <x v="1"/>
    <s v="Sanjay Kumar"/>
    <s v="10-11-26"/>
    <s v="13-11-26"/>
    <x v="1"/>
    <n v="9123457811"/>
    <n v="11097"/>
    <x v="0"/>
    <n v="3"/>
    <x v="0"/>
    <x v="10"/>
    <n v="11"/>
    <s v="Q4"/>
  </r>
  <r>
    <x v="61"/>
    <x v="5"/>
    <s v="Ananya Rao"/>
    <s v="15-11-26"/>
    <s v="20-11-26"/>
    <x v="2"/>
    <n v="9234568922"/>
    <n v="29995"/>
    <x v="0"/>
    <n v="5"/>
    <x v="0"/>
    <x v="10"/>
    <n v="11"/>
    <s v="Q4"/>
  </r>
  <r>
    <x v="62"/>
    <x v="2"/>
    <s v="Rahul Bhat"/>
    <s v="20-11-26"/>
    <s v="23-11-26"/>
    <x v="0"/>
    <n v="9345679033"/>
    <n v="6597"/>
    <x v="1"/>
    <n v="3"/>
    <x v="0"/>
    <x v="10"/>
    <n v="11"/>
    <s v="Q4"/>
  </r>
  <r>
    <x v="63"/>
    <x v="0"/>
    <s v="Meera Patel"/>
    <s v="25-11-26"/>
    <s v="27-11-26"/>
    <x v="0"/>
    <n v="9456780144"/>
    <n v="5798"/>
    <x v="0"/>
    <n v="2"/>
    <x v="0"/>
    <x v="10"/>
    <n v="11"/>
    <s v="Q4"/>
  </r>
  <r>
    <x v="64"/>
    <x v="3"/>
    <s v="Nikhil Sharma"/>
    <s v="01-12-26"/>
    <s v="05-12-26"/>
    <x v="0"/>
    <n v="9567891255"/>
    <n v="16796"/>
    <x v="0"/>
    <n v="4"/>
    <x v="0"/>
    <x v="11"/>
    <n v="12"/>
    <s v="Q4"/>
  </r>
  <r>
    <x v="65"/>
    <x v="4"/>
    <s v="Pooja Gupta"/>
    <s v="05-12-26"/>
    <s v="08-12-26"/>
    <x v="0"/>
    <n v="9678902366"/>
    <n v="7497"/>
    <x v="1"/>
    <n v="3"/>
    <x v="0"/>
    <x v="11"/>
    <n v="12"/>
    <s v="Q4"/>
  </r>
  <r>
    <x v="66"/>
    <x v="1"/>
    <s v="Karthik Das"/>
    <s v="10-12-26"/>
    <s v="12-12-26"/>
    <x v="2"/>
    <n v="9789013477"/>
    <n v="7398"/>
    <x v="0"/>
    <n v="2"/>
    <x v="0"/>
    <x v="11"/>
    <n v="12"/>
    <s v="Q4"/>
  </r>
  <r>
    <x v="67"/>
    <x v="5"/>
    <s v="Aisha Singh"/>
    <s v="15-12-26"/>
    <s v="18-12-26"/>
    <x v="2"/>
    <n v="9890124588"/>
    <n v="17997"/>
    <x v="0"/>
    <n v="3"/>
    <x v="0"/>
    <x v="11"/>
    <n v="12"/>
    <s v="Q4"/>
  </r>
  <r>
    <x v="68"/>
    <x v="2"/>
    <s v="Varun Nair"/>
    <s v="20-12-26"/>
    <s v="22-12-26"/>
    <x v="0"/>
    <n v="9901235699"/>
    <n v="4398"/>
    <x v="1"/>
    <n v="2"/>
    <x v="0"/>
    <x v="11"/>
    <n v="12"/>
    <s v="Q4"/>
  </r>
  <r>
    <x v="69"/>
    <x v="0"/>
    <s v="Sneha Rao"/>
    <s v="25-12-26"/>
    <s v="29-12-26"/>
    <x v="0"/>
    <n v="9012346700"/>
    <n v="11596"/>
    <x v="0"/>
    <n v="4"/>
    <x v="0"/>
    <x v="11"/>
    <n v="12"/>
    <s v="Q4"/>
  </r>
  <r>
    <x v="70"/>
    <x v="3"/>
    <s v="Amit Jain"/>
    <s v="01-01-27"/>
    <s v="04-01-27"/>
    <x v="0"/>
    <n v="9123457811"/>
    <n v="12597"/>
    <x v="0"/>
    <n v="3"/>
    <x v="1"/>
    <x v="0"/>
    <n v="1"/>
    <s v="Q1"/>
  </r>
  <r>
    <x v="71"/>
    <x v="4"/>
    <s v="Divya Sharma"/>
    <s v="05-01-27"/>
    <s v="08-01-27"/>
    <x v="0"/>
    <n v="9234568922"/>
    <n v="7497"/>
    <x v="1"/>
    <n v="3"/>
    <x v="1"/>
    <x v="0"/>
    <n v="1"/>
    <s v="Q1"/>
  </r>
  <r>
    <x v="72"/>
    <x v="1"/>
    <s v="Rohan Patel"/>
    <s v="10-01-27"/>
    <s v="13-01-27"/>
    <x v="1"/>
    <n v="9345679033"/>
    <n v="11097"/>
    <x v="0"/>
    <n v="3"/>
    <x v="1"/>
    <x v="0"/>
    <n v="1"/>
    <s v="Q1"/>
  </r>
  <r>
    <x v="73"/>
    <x v="5"/>
    <s v="Priya Kapoor"/>
    <s v="15-01-27"/>
    <s v="17-01-27"/>
    <x v="0"/>
    <n v="9456780144"/>
    <n v="11998"/>
    <x v="1"/>
    <n v="2"/>
    <x v="1"/>
    <x v="0"/>
    <n v="1"/>
    <s v="Q1"/>
  </r>
  <r>
    <x v="74"/>
    <x v="2"/>
    <s v="Aditya Gupta"/>
    <s v="20-01-27"/>
    <s v="23-01-27"/>
    <x v="0"/>
    <n v="9567891255"/>
    <n v="6597"/>
    <x v="0"/>
    <n v="3"/>
    <x v="1"/>
    <x v="0"/>
    <n v="1"/>
    <s v="Q1"/>
  </r>
  <r>
    <x v="75"/>
    <x v="0"/>
    <s v="Kavya Verma"/>
    <s v="25-01-27"/>
    <s v="27-01-27"/>
    <x v="0"/>
    <n v="9678902366"/>
    <n v="5798"/>
    <x v="0"/>
    <n v="2"/>
    <x v="1"/>
    <x v="0"/>
    <n v="1"/>
    <s v="Q1"/>
  </r>
  <r>
    <x v="76"/>
    <x v="3"/>
    <s v="Neha Singh"/>
    <s v="01-02-27"/>
    <s v="05-02-27"/>
    <x v="0"/>
    <n v="9789013477"/>
    <n v="16796"/>
    <x v="1"/>
    <n v="4"/>
    <x v="1"/>
    <x v="1"/>
    <n v="2"/>
    <s v="Q1"/>
  </r>
  <r>
    <x v="77"/>
    <x v="4"/>
    <s v="Sanjay Mehta"/>
    <s v="05-02-27"/>
    <s v="09-02-27"/>
    <x v="0"/>
    <n v="9890124588"/>
    <n v="9996"/>
    <x v="0"/>
    <n v="4"/>
    <x v="1"/>
    <x v="1"/>
    <n v="2"/>
    <s v="Q1"/>
  </r>
  <r>
    <x v="78"/>
    <x v="1"/>
    <s v="Ananya Jain"/>
    <s v="10-02-27"/>
    <s v="14-02-27"/>
    <x v="1"/>
    <n v="9901235699"/>
    <n v="14796"/>
    <x v="0"/>
    <n v="4"/>
    <x v="1"/>
    <x v="1"/>
    <n v="2"/>
    <s v="Q1"/>
  </r>
  <r>
    <x v="79"/>
    <x v="5"/>
    <s v="Rahul Kumar"/>
    <s v="15-02-27"/>
    <s v="18-02-27"/>
    <x v="2"/>
    <n v="9012346700"/>
    <n v="17997"/>
    <x v="1"/>
    <n v="3"/>
    <x v="1"/>
    <x v="1"/>
    <n v="2"/>
    <s v="Q1"/>
  </r>
  <r>
    <x v="80"/>
    <x v="2"/>
    <s v="Meera Das"/>
    <s v="20-02-27"/>
    <s v="22-02-27"/>
    <x v="0"/>
    <n v="9123457811"/>
    <n v="4398"/>
    <x v="0"/>
    <n v="2"/>
    <x v="1"/>
    <x v="1"/>
    <n v="2"/>
    <s v="Q1"/>
  </r>
  <r>
    <x v="81"/>
    <x v="0"/>
    <s v="Nikhil Rao"/>
    <s v="25-02-27"/>
    <s v="28-02-27"/>
    <x v="0"/>
    <n v="9234568922"/>
    <n v="8697"/>
    <x v="1"/>
    <n v="3"/>
    <x v="1"/>
    <x v="1"/>
    <n v="2"/>
    <s v="Q1"/>
  </r>
  <r>
    <x v="82"/>
    <x v="3"/>
    <s v="Pooja Patel"/>
    <s v="01-03-27"/>
    <s v="04-03-27"/>
    <x v="0"/>
    <n v="9345679033"/>
    <n v="12597"/>
    <x v="0"/>
    <n v="3"/>
    <x v="1"/>
    <x v="2"/>
    <n v="3"/>
    <s v="Q1"/>
  </r>
  <r>
    <x v="83"/>
    <x v="4"/>
    <s v="Karthik Sharma"/>
    <s v="05-03-27"/>
    <s v="08-03-27"/>
    <x v="0"/>
    <n v="9456780144"/>
    <n v="7497"/>
    <x v="0"/>
    <n v="3"/>
    <x v="1"/>
    <x v="2"/>
    <n v="3"/>
    <s v="Q1"/>
  </r>
  <r>
    <x v="84"/>
    <x v="1"/>
    <s v="Aisha Gupta"/>
    <s v="10-03-27"/>
    <s v="13-03-27"/>
    <x v="1"/>
    <n v="9567891255"/>
    <n v="11097"/>
    <x v="1"/>
    <n v="3"/>
    <x v="1"/>
    <x v="2"/>
    <n v="3"/>
    <s v="Q1"/>
  </r>
  <r>
    <x v="85"/>
    <x v="5"/>
    <s v="Varun Singh"/>
    <s v="15-03-27"/>
    <s v="20-03-27"/>
    <x v="2"/>
    <n v="9678902366"/>
    <n v="29995"/>
    <x v="0"/>
    <n v="5"/>
    <x v="1"/>
    <x v="2"/>
    <n v="3"/>
    <s v="Q1"/>
  </r>
  <r>
    <x v="86"/>
    <x v="2"/>
    <s v="Sneha Kapoor"/>
    <s v="20-03-27"/>
    <s v="22-03-27"/>
    <x v="0"/>
    <n v="9789013477"/>
    <n v="4398"/>
    <x v="0"/>
    <n v="2"/>
    <x v="1"/>
    <x v="2"/>
    <n v="3"/>
    <s v="Q1"/>
  </r>
  <r>
    <x v="87"/>
    <x v="0"/>
    <s v="Amit Nair"/>
    <s v="25-03-27"/>
    <s v="29-03-27"/>
    <x v="0"/>
    <n v="9890124588"/>
    <n v="11596"/>
    <x v="1"/>
    <n v="4"/>
    <x v="1"/>
    <x v="2"/>
    <n v="3"/>
    <s v="Q1"/>
  </r>
  <r>
    <x v="88"/>
    <x v="3"/>
    <s v="Divya Rao"/>
    <s v="01-04-27"/>
    <s v="03-04-27"/>
    <x v="0"/>
    <n v="9901235699"/>
    <n v="8398"/>
    <x v="0"/>
    <n v="2"/>
    <x v="1"/>
    <x v="3"/>
    <n v="4"/>
    <s v="Q2"/>
  </r>
  <r>
    <x v="89"/>
    <x v="4"/>
    <s v="Rohan Jain"/>
    <s v="05-04-27"/>
    <s v="08-04-27"/>
    <x v="0"/>
    <n v="9012346700"/>
    <n v="7497"/>
    <x v="1"/>
    <n v="3"/>
    <x v="1"/>
    <x v="3"/>
    <n v="4"/>
    <s v="Q2"/>
  </r>
  <r>
    <x v="90"/>
    <x v="1"/>
    <s v="Priya Verma"/>
    <s v="10-04-27"/>
    <s v="14-04-27"/>
    <x v="1"/>
    <n v="9123457811"/>
    <n v="14796"/>
    <x v="0"/>
    <n v="4"/>
    <x v="1"/>
    <x v="3"/>
    <n v="4"/>
    <s v="Q2"/>
  </r>
  <r>
    <x v="91"/>
    <x v="5"/>
    <s v="Aditya Sharma"/>
    <s v="15-04-27"/>
    <s v="18-04-27"/>
    <x v="2"/>
    <n v="9234568922"/>
    <n v="17997"/>
    <x v="0"/>
    <n v="3"/>
    <x v="1"/>
    <x v="3"/>
    <n v="4"/>
    <s v="Q2"/>
  </r>
  <r>
    <x v="92"/>
    <x v="2"/>
    <s v="Kavya Gupta"/>
    <s v="20-04-27"/>
    <s v="23-04-27"/>
    <x v="0"/>
    <n v="9345679033"/>
    <n v="6597"/>
    <x v="1"/>
    <n v="3"/>
    <x v="1"/>
    <x v="3"/>
    <n v="4"/>
    <s v="Q2"/>
  </r>
  <r>
    <x v="93"/>
    <x v="0"/>
    <s v="Neha Patel"/>
    <s v="25-04-27"/>
    <s v="27-04-27"/>
    <x v="0"/>
    <n v="9456780144"/>
    <n v="5798"/>
    <x v="0"/>
    <n v="2"/>
    <x v="1"/>
    <x v="3"/>
    <n v="4"/>
    <s v="Q2"/>
  </r>
  <r>
    <x v="94"/>
    <x v="3"/>
    <s v="Sanjay Singh"/>
    <s v="01-05-27"/>
    <s v="05-05-27"/>
    <x v="0"/>
    <n v="9567891255"/>
    <n v="16796"/>
    <x v="0"/>
    <n v="4"/>
    <x v="1"/>
    <x v="4"/>
    <n v="5"/>
    <s v="Q2"/>
  </r>
  <r>
    <x v="95"/>
    <x v="4"/>
    <s v="Ananya Mehta"/>
    <s v="05-05-27"/>
    <s v="09-05-27"/>
    <x v="0"/>
    <n v="9678902366"/>
    <n v="9996"/>
    <x v="1"/>
    <n v="4"/>
    <x v="1"/>
    <x v="4"/>
    <n v="5"/>
    <s v="Q2"/>
  </r>
  <r>
    <x v="96"/>
    <x v="1"/>
    <s v="Rahul Kapoor"/>
    <s v="10-05-27"/>
    <s v="12-05-27"/>
    <x v="1"/>
    <n v="9789013477"/>
    <n v="7398"/>
    <x v="0"/>
    <n v="2"/>
    <x v="1"/>
    <x v="4"/>
    <n v="5"/>
    <s v="Q2"/>
  </r>
  <r>
    <x v="97"/>
    <x v="5"/>
    <s v="Meera Kumar"/>
    <s v="15-05-27"/>
    <s v="18-05-27"/>
    <x v="2"/>
    <n v="9890124588"/>
    <n v="17997"/>
    <x v="0"/>
    <n v="3"/>
    <x v="1"/>
    <x v="4"/>
    <n v="5"/>
    <s v="Q2"/>
  </r>
  <r>
    <x v="98"/>
    <x v="2"/>
    <s v="Nikhil Jain"/>
    <s v="20-05-27"/>
    <s v="22-05-27"/>
    <x v="0"/>
    <n v="9901235699"/>
    <n v="4398"/>
    <x v="1"/>
    <n v="2"/>
    <x v="1"/>
    <x v="4"/>
    <n v="5"/>
    <s v="Q2"/>
  </r>
  <r>
    <x v="99"/>
    <x v="0"/>
    <s v="Pooja Das"/>
    <s v="25-05-27"/>
    <s v="29-05-27"/>
    <x v="0"/>
    <n v="9012346700"/>
    <n v="11596"/>
    <x v="0"/>
    <n v="4"/>
    <x v="1"/>
    <x v="4"/>
    <n v="5"/>
    <s v="Q2"/>
  </r>
  <r>
    <x v="100"/>
    <x v="3"/>
    <s v="Arjun Sharma"/>
    <s v="01-06-27"/>
    <s v="04-06-27"/>
    <x v="0"/>
    <n v="9123457001"/>
    <n v="12597"/>
    <x v="0"/>
    <n v="3"/>
    <x v="1"/>
    <x v="5"/>
    <n v="6"/>
    <s v="Q2"/>
  </r>
  <r>
    <x v="101"/>
    <x v="4"/>
    <s v="Priya Gupta"/>
    <s v="05-06-27"/>
    <s v="08-06-27"/>
    <x v="0"/>
    <n v="9234568112"/>
    <n v="7497"/>
    <x v="1"/>
    <n v="3"/>
    <x v="1"/>
    <x v="5"/>
    <n v="6"/>
    <s v="Q2"/>
  </r>
  <r>
    <x v="102"/>
    <x v="1"/>
    <s v="Rahul Patel"/>
    <s v="10-06-27"/>
    <s v="14-06-27"/>
    <x v="1"/>
    <n v="9345679223"/>
    <n v="14796"/>
    <x v="0"/>
    <n v="4"/>
    <x v="1"/>
    <x v="5"/>
    <n v="6"/>
    <s v="Q2"/>
  </r>
  <r>
    <x v="103"/>
    <x v="5"/>
    <s v="Sneha Singh"/>
    <s v="15-06-27"/>
    <s v="18-06-27"/>
    <x v="2"/>
    <n v="9456780334"/>
    <n v="17997"/>
    <x v="0"/>
    <n v="3"/>
    <x v="1"/>
    <x v="5"/>
    <n v="6"/>
    <s v="Q2"/>
  </r>
  <r>
    <x v="104"/>
    <x v="2"/>
    <s v="Amit Rao"/>
    <s v="20-06-27"/>
    <s v="22-06-27"/>
    <x v="0"/>
    <n v="9567891445"/>
    <n v="4398"/>
    <x v="1"/>
    <n v="2"/>
    <x v="1"/>
    <x v="5"/>
    <n v="6"/>
    <s v="Q2"/>
  </r>
  <r>
    <x v="105"/>
    <x v="0"/>
    <s v="Kavya Jain"/>
    <s v="25-06-27"/>
    <s v="29-06-27"/>
    <x v="0"/>
    <n v="9678902556"/>
    <n v="11596"/>
    <x v="0"/>
    <n v="4"/>
    <x v="1"/>
    <x v="5"/>
    <n v="6"/>
    <s v="Q2"/>
  </r>
  <r>
    <x v="106"/>
    <x v="3"/>
    <s v="Nikhil Kumar"/>
    <s v="01-07-27"/>
    <s v="03-07-27"/>
    <x v="0"/>
    <n v="9789013667"/>
    <n v="8398"/>
    <x v="0"/>
    <n v="2"/>
    <x v="1"/>
    <x v="6"/>
    <n v="7"/>
    <s v="Q3"/>
  </r>
  <r>
    <x v="107"/>
    <x v="4"/>
    <s v="Meera Sharma"/>
    <s v="05-07-27"/>
    <s v="09-07-27"/>
    <x v="0"/>
    <n v="9890124778"/>
    <n v="9996"/>
    <x v="1"/>
    <n v="4"/>
    <x v="1"/>
    <x v="6"/>
    <n v="7"/>
    <s v="Q3"/>
  </r>
  <r>
    <x v="108"/>
    <x v="1"/>
    <s v="Aditya Gupta"/>
    <s v="10-07-27"/>
    <s v="13-07-27"/>
    <x v="1"/>
    <n v="9901235889"/>
    <n v="11097"/>
    <x v="0"/>
    <n v="3"/>
    <x v="1"/>
    <x v="6"/>
    <n v="7"/>
    <s v="Q3"/>
  </r>
  <r>
    <x v="109"/>
    <x v="5"/>
    <s v="Divya Patel"/>
    <s v="15-07-27"/>
    <s v="20-07-27"/>
    <x v="2"/>
    <n v="9012346990"/>
    <n v="29995"/>
    <x v="0"/>
    <n v="5"/>
    <x v="1"/>
    <x v="6"/>
    <n v="7"/>
    <s v="Q3"/>
  </r>
  <r>
    <x v="110"/>
    <x v="2"/>
    <s v="Rohan Kapoor"/>
    <s v="20-07-27"/>
    <s v="23-07-27"/>
    <x v="0"/>
    <n v="9123457001"/>
    <n v="6597"/>
    <x v="1"/>
    <n v="3"/>
    <x v="1"/>
    <x v="6"/>
    <n v="7"/>
    <s v="Q3"/>
  </r>
  <r>
    <x v="111"/>
    <x v="0"/>
    <s v="Ananya Verma"/>
    <s v="25-07-27"/>
    <s v="27-07-27"/>
    <x v="0"/>
    <n v="9234568112"/>
    <n v="5798"/>
    <x v="0"/>
    <n v="2"/>
    <x v="1"/>
    <x v="6"/>
    <n v="7"/>
    <s v="Q3"/>
  </r>
  <r>
    <x v="112"/>
    <x v="3"/>
    <s v="Sanjay Nair"/>
    <s v="01-08-27"/>
    <s v="05-08-27"/>
    <x v="0"/>
    <n v="9345679223"/>
    <n v="16796"/>
    <x v="0"/>
    <n v="4"/>
    <x v="1"/>
    <x v="7"/>
    <n v="8"/>
    <s v="Q3"/>
  </r>
  <r>
    <x v="113"/>
    <x v="4"/>
    <s v="Pooja Rao"/>
    <s v="05-08-27"/>
    <s v="08-08-27"/>
    <x v="0"/>
    <n v="9456780334"/>
    <n v="7497"/>
    <x v="1"/>
    <n v="3"/>
    <x v="1"/>
    <x v="7"/>
    <n v="8"/>
    <s v="Q3"/>
  </r>
  <r>
    <x v="114"/>
    <x v="1"/>
    <s v="Karthik Singh"/>
    <s v="10-08-27"/>
    <s v="12-08-27"/>
    <x v="2"/>
    <n v="9567891445"/>
    <n v="7398"/>
    <x v="0"/>
    <n v="2"/>
    <x v="1"/>
    <x v="7"/>
    <n v="8"/>
    <s v="Q3"/>
  </r>
  <r>
    <x v="115"/>
    <x v="5"/>
    <s v="Aisha Mehta"/>
    <s v="15-08-27"/>
    <s v="18-08-27"/>
    <x v="2"/>
    <n v="9678902556"/>
    <n v="17997"/>
    <x v="0"/>
    <n v="3"/>
    <x v="1"/>
    <x v="7"/>
    <n v="8"/>
    <s v="Q3"/>
  </r>
  <r>
    <x v="116"/>
    <x v="2"/>
    <s v="Varun Jain"/>
    <s v="20-08-27"/>
    <s v="22-08-27"/>
    <x v="0"/>
    <n v="9789013667"/>
    <n v="4398"/>
    <x v="1"/>
    <n v="2"/>
    <x v="1"/>
    <x v="7"/>
    <n v="8"/>
    <s v="Q3"/>
  </r>
  <r>
    <x v="117"/>
    <x v="0"/>
    <s v="Sneha Das"/>
    <s v="25-08-27"/>
    <s v="29-08-27"/>
    <x v="0"/>
    <n v="9890124778"/>
    <n v="11596"/>
    <x v="0"/>
    <n v="4"/>
    <x v="1"/>
    <x v="7"/>
    <n v="8"/>
    <s v="Q3"/>
  </r>
  <r>
    <x v="118"/>
    <x v="3"/>
    <s v="Amit Sharma"/>
    <s v="01-09-27"/>
    <s v="04-09-27"/>
    <x v="0"/>
    <n v="9901235889"/>
    <n v="12597"/>
    <x v="0"/>
    <n v="3"/>
    <x v="1"/>
    <x v="8"/>
    <n v="9"/>
    <s v="Q3"/>
  </r>
  <r>
    <x v="119"/>
    <x v="4"/>
    <s v="Divya Gupta"/>
    <s v="05-09-27"/>
    <s v="08-09-27"/>
    <x v="0"/>
    <n v="9012346990"/>
    <n v="7497"/>
    <x v="1"/>
    <n v="3"/>
    <x v="1"/>
    <x v="8"/>
    <n v="9"/>
    <s v="Q3"/>
  </r>
  <r>
    <x v="120"/>
    <x v="1"/>
    <s v="Rohan Patel"/>
    <s v="10-09-27"/>
    <s v="13-09-27"/>
    <x v="1"/>
    <n v="9123457001"/>
    <n v="11097"/>
    <x v="0"/>
    <n v="3"/>
    <x v="1"/>
    <x v="8"/>
    <n v="9"/>
    <s v="Q3"/>
  </r>
  <r>
    <x v="121"/>
    <x v="5"/>
    <s v="Ananya Kapoor"/>
    <s v="15-09-27"/>
    <s v="17-09-27"/>
    <x v="0"/>
    <n v="9234568112"/>
    <n v="11998"/>
    <x v="1"/>
    <n v="2"/>
    <x v="1"/>
    <x v="8"/>
    <n v="9"/>
    <s v="Q3"/>
  </r>
  <r>
    <x v="122"/>
    <x v="2"/>
    <s v="Sanjay Verma"/>
    <s v="20-09-27"/>
    <s v="23-09-27"/>
    <x v="0"/>
    <n v="9345679223"/>
    <n v="6597"/>
    <x v="0"/>
    <n v="3"/>
    <x v="1"/>
    <x v="8"/>
    <n v="9"/>
    <s v="Q3"/>
  </r>
  <r>
    <x v="123"/>
    <x v="0"/>
    <s v="Pooja Nair"/>
    <s v="25-09-27"/>
    <s v="27-09-27"/>
    <x v="0"/>
    <n v="9456780334"/>
    <n v="5798"/>
    <x v="0"/>
    <n v="2"/>
    <x v="1"/>
    <x v="8"/>
    <n v="9"/>
    <s v="Q3"/>
  </r>
  <r>
    <x v="124"/>
    <x v="3"/>
    <s v="Karthik Rao"/>
    <s v="01-10-27"/>
    <s v="05-10-27"/>
    <x v="0"/>
    <n v="9567891445"/>
    <n v="16796"/>
    <x v="1"/>
    <n v="4"/>
    <x v="1"/>
    <x v="9"/>
    <n v="10"/>
    <s v="Q4"/>
  </r>
  <r>
    <x v="125"/>
    <x v="4"/>
    <s v="Aisha Singh"/>
    <s v="05-10-27"/>
    <s v="09-10-27"/>
    <x v="0"/>
    <n v="9678902556"/>
    <n v="9996"/>
    <x v="0"/>
    <n v="4"/>
    <x v="1"/>
    <x v="9"/>
    <n v="10"/>
    <s v="Q4"/>
  </r>
  <r>
    <x v="126"/>
    <x v="1"/>
    <s v="Varun Mehta"/>
    <s v="10-10-27"/>
    <s v="14-10-27"/>
    <x v="1"/>
    <n v="9789013667"/>
    <n v="14796"/>
    <x v="0"/>
    <n v="4"/>
    <x v="1"/>
    <x v="9"/>
    <n v="10"/>
    <s v="Q4"/>
  </r>
  <r>
    <x v="127"/>
    <x v="5"/>
    <s v="Sneha Jain"/>
    <s v="15-10-27"/>
    <s v="18-10-27"/>
    <x v="2"/>
    <n v="9890124778"/>
    <n v="17997"/>
    <x v="1"/>
    <n v="3"/>
    <x v="1"/>
    <x v="9"/>
    <n v="10"/>
    <s v="Q4"/>
  </r>
  <r>
    <x v="128"/>
    <x v="2"/>
    <s v="Amit Das"/>
    <s v="20-10-27"/>
    <s v="22-10-27"/>
    <x v="0"/>
    <n v="9901235889"/>
    <n v="4398"/>
    <x v="0"/>
    <n v="2"/>
    <x v="1"/>
    <x v="9"/>
    <n v="10"/>
    <s v="Q4"/>
  </r>
  <r>
    <x v="129"/>
    <x v="0"/>
    <s v="Divya Sharma"/>
    <s v="25-10-27"/>
    <s v="29-10-27"/>
    <x v="0"/>
    <n v="9012346990"/>
    <n v="11596"/>
    <x v="1"/>
    <n v="4"/>
    <x v="1"/>
    <x v="9"/>
    <n v="10"/>
    <s v="Q4"/>
  </r>
  <r>
    <x v="130"/>
    <x v="3"/>
    <s v="Rohan Gupta"/>
    <s v="01-11-27"/>
    <s v="03-11-27"/>
    <x v="0"/>
    <n v="9123457001"/>
    <n v="8398"/>
    <x v="0"/>
    <n v="2"/>
    <x v="1"/>
    <x v="10"/>
    <n v="11"/>
    <s v="Q4"/>
  </r>
  <r>
    <x v="131"/>
    <x v="4"/>
    <s v="Ananya Patel"/>
    <s v="05-11-27"/>
    <s v="08-11-27"/>
    <x v="0"/>
    <n v="9234568112"/>
    <n v="7497"/>
    <x v="0"/>
    <n v="3"/>
    <x v="1"/>
    <x v="10"/>
    <n v="11"/>
    <s v="Q4"/>
  </r>
  <r>
    <x v="132"/>
    <x v="1"/>
    <s v="Sanjay Kapoor"/>
    <s v="10-11-27"/>
    <s v="14-11-27"/>
    <x v="1"/>
    <n v="9345679223"/>
    <n v="14796"/>
    <x v="1"/>
    <n v="4"/>
    <x v="1"/>
    <x v="10"/>
    <n v="11"/>
    <s v="Q4"/>
  </r>
  <r>
    <x v="133"/>
    <x v="5"/>
    <s v="Pooja Verma"/>
    <s v="15-11-27"/>
    <s v="20-11-27"/>
    <x v="2"/>
    <n v="9456780334"/>
    <n v="29995"/>
    <x v="0"/>
    <n v="5"/>
    <x v="1"/>
    <x v="10"/>
    <n v="11"/>
    <s v="Q4"/>
  </r>
  <r>
    <x v="134"/>
    <x v="2"/>
    <s v="Karthik Nair"/>
    <s v="20-11-27"/>
    <s v="23-11-27"/>
    <x v="0"/>
    <n v="9567891445"/>
    <n v="6597"/>
    <x v="0"/>
    <n v="3"/>
    <x v="1"/>
    <x v="10"/>
    <n v="11"/>
    <s v="Q4"/>
  </r>
  <r>
    <x v="135"/>
    <x v="0"/>
    <s v="Aisha Rao"/>
    <s v="25-11-27"/>
    <s v="27-11-27"/>
    <x v="0"/>
    <n v="9678902556"/>
    <n v="5798"/>
    <x v="1"/>
    <n v="2"/>
    <x v="1"/>
    <x v="10"/>
    <n v="11"/>
    <s v="Q4"/>
  </r>
  <r>
    <x v="136"/>
    <x v="3"/>
    <s v="Varun Singh"/>
    <s v="01-12-27"/>
    <s v="05-12-27"/>
    <x v="0"/>
    <n v="9789013667"/>
    <n v="16796"/>
    <x v="0"/>
    <n v="4"/>
    <x v="1"/>
    <x v="11"/>
    <n v="12"/>
    <s v="Q4"/>
  </r>
  <r>
    <x v="137"/>
    <x v="4"/>
    <s v="Sneha Mehta"/>
    <s v="05-12-27"/>
    <s v="08-12-27"/>
    <x v="0"/>
    <n v="9890124778"/>
    <n v="7497"/>
    <x v="0"/>
    <n v="3"/>
    <x v="1"/>
    <x v="11"/>
    <n v="12"/>
    <s v="Q4"/>
  </r>
  <r>
    <x v="138"/>
    <x v="1"/>
    <s v="Amit Jain"/>
    <s v="10-12-27"/>
    <s v="13-12-27"/>
    <x v="1"/>
    <n v="9901235889"/>
    <n v="11097"/>
    <x v="1"/>
    <n v="3"/>
    <x v="1"/>
    <x v="11"/>
    <n v="12"/>
    <s v="Q4"/>
  </r>
  <r>
    <x v="139"/>
    <x v="5"/>
    <s v="Divya Das"/>
    <s v="15-12-27"/>
    <s v="18-12-27"/>
    <x v="2"/>
    <n v="9012346990"/>
    <n v="17997"/>
    <x v="0"/>
    <n v="3"/>
    <x v="1"/>
    <x v="11"/>
    <n v="12"/>
    <s v="Q4"/>
  </r>
  <r>
    <x v="140"/>
    <x v="2"/>
    <s v="Rohan Sharma"/>
    <s v="20-12-27"/>
    <s v="22-12-27"/>
    <x v="0"/>
    <n v="9123457001"/>
    <n v="4398"/>
    <x v="0"/>
    <n v="2"/>
    <x v="1"/>
    <x v="11"/>
    <n v="12"/>
    <s v="Q4"/>
  </r>
  <r>
    <x v="141"/>
    <x v="0"/>
    <s v="Ananya Gupta"/>
    <s v="25-12-27"/>
    <s v="29-12-27"/>
    <x v="0"/>
    <n v="9234568112"/>
    <n v="11596"/>
    <x v="1"/>
    <n v="4"/>
    <x v="1"/>
    <x v="11"/>
    <n v="12"/>
    <s v="Q4"/>
  </r>
  <r>
    <x v="142"/>
    <x v="3"/>
    <s v="Sanjay Patel"/>
    <s v="01-01-28"/>
    <s v="04-01-28"/>
    <x v="0"/>
    <n v="9345679223"/>
    <n v="12597"/>
    <x v="0"/>
    <n v="3"/>
    <x v="2"/>
    <x v="0"/>
    <n v="1"/>
    <s v="Q1"/>
  </r>
  <r>
    <x v="143"/>
    <x v="4"/>
    <s v="Pooja Kapoor"/>
    <s v="05-01-28"/>
    <s v="09-01-28"/>
    <x v="0"/>
    <n v="9456780334"/>
    <n v="9996"/>
    <x v="0"/>
    <n v="4"/>
    <x v="2"/>
    <x v="0"/>
    <n v="1"/>
    <s v="Q1"/>
  </r>
  <r>
    <x v="144"/>
    <x v="1"/>
    <s v="Karthik Verma"/>
    <s v="10-01-28"/>
    <s v="12-01-28"/>
    <x v="2"/>
    <n v="9567891445"/>
    <n v="7398"/>
    <x v="1"/>
    <n v="2"/>
    <x v="2"/>
    <x v="0"/>
    <n v="1"/>
    <s v="Q1"/>
  </r>
  <r>
    <x v="145"/>
    <x v="5"/>
    <s v="Aisha Nair"/>
    <s v="15-01-28"/>
    <s v="18-01-28"/>
    <x v="2"/>
    <n v="9678902556"/>
    <n v="17997"/>
    <x v="0"/>
    <n v="3"/>
    <x v="2"/>
    <x v="0"/>
    <n v="1"/>
    <s v="Q1"/>
  </r>
  <r>
    <x v="146"/>
    <x v="2"/>
    <s v="Varun Rao"/>
    <s v="20-01-28"/>
    <s v="23-01-28"/>
    <x v="0"/>
    <n v="9789013667"/>
    <n v="6597"/>
    <x v="0"/>
    <n v="3"/>
    <x v="2"/>
    <x v="0"/>
    <n v="1"/>
    <s v="Q1"/>
  </r>
  <r>
    <x v="147"/>
    <x v="0"/>
    <s v="Sneha Singh"/>
    <s v="25-01-28"/>
    <s v="27-01-28"/>
    <x v="0"/>
    <n v="9890124778"/>
    <n v="5798"/>
    <x v="1"/>
    <n v="2"/>
    <x v="2"/>
    <x v="0"/>
    <n v="1"/>
    <s v="Q1"/>
  </r>
  <r>
    <x v="148"/>
    <x v="3"/>
    <s v="Amit Mehta"/>
    <s v="01-02-28"/>
    <s v="05-02-28"/>
    <x v="0"/>
    <n v="9901235889"/>
    <n v="16796"/>
    <x v="0"/>
    <n v="4"/>
    <x v="2"/>
    <x v="1"/>
    <n v="2"/>
    <s v="Q1"/>
  </r>
  <r>
    <x v="149"/>
    <x v="4"/>
    <s v="Divya Jain"/>
    <s v="05-02-28"/>
    <s v="08-02-28"/>
    <x v="0"/>
    <n v="9012346990"/>
    <n v="7497"/>
    <x v="0"/>
    <n v="3"/>
    <x v="2"/>
    <x v="1"/>
    <n v="2"/>
    <s v="Q1"/>
  </r>
  <r>
    <x v="150"/>
    <x v="1"/>
    <s v="Rahul Nair"/>
    <s v="10-02-28"/>
    <s v="13-02-28"/>
    <x v="1"/>
    <n v="9123457101"/>
    <n v="11097"/>
    <x v="1"/>
    <n v="3"/>
    <x v="2"/>
    <x v="1"/>
    <n v="2"/>
    <s v="Q1"/>
  </r>
  <r>
    <x v="151"/>
    <x v="5"/>
    <s v="Meera Sharma"/>
    <s v="15-02-28"/>
    <s v="18-02-28"/>
    <x v="2"/>
    <n v="9234568212"/>
    <n v="17997"/>
    <x v="0"/>
    <n v="3"/>
    <x v="2"/>
    <x v="1"/>
    <n v="2"/>
    <s v="Q1"/>
  </r>
  <r>
    <x v="152"/>
    <x v="2"/>
    <s v="Nikhil Gupta"/>
    <s v="20-02-28"/>
    <s v="22-02-28"/>
    <x v="0"/>
    <n v="9345679323"/>
    <n v="4398"/>
    <x v="0"/>
    <n v="2"/>
    <x v="2"/>
    <x v="1"/>
    <n v="2"/>
    <s v="Q1"/>
  </r>
  <r>
    <x v="153"/>
    <x v="0"/>
    <s v="Pooja Patel"/>
    <s v="25-02-28"/>
    <s v="29-02-28"/>
    <x v="0"/>
    <n v="9456780434"/>
    <n v="11596"/>
    <x v="1"/>
    <n v="4"/>
    <x v="2"/>
    <x v="1"/>
    <n v="2"/>
    <s v="Q1"/>
  </r>
  <r>
    <x v="154"/>
    <x v="3"/>
    <s v="Karthik Kapoor"/>
    <s v="01-03-28"/>
    <s v="04-03-28"/>
    <x v="0"/>
    <n v="9567891545"/>
    <n v="12597"/>
    <x v="0"/>
    <n v="3"/>
    <x v="2"/>
    <x v="2"/>
    <n v="3"/>
    <s v="Q1"/>
  </r>
  <r>
    <x v="155"/>
    <x v="4"/>
    <s v="Aisha Verma"/>
    <s v="05-03-28"/>
    <s v="08-03-28"/>
    <x v="0"/>
    <n v="9678902656"/>
    <n v="7497"/>
    <x v="0"/>
    <n v="3"/>
    <x v="2"/>
    <x v="2"/>
    <n v="3"/>
    <s v="Q1"/>
  </r>
  <r>
    <x v="156"/>
    <x v="1"/>
    <s v="Varun Jain"/>
    <s v="10-03-28"/>
    <s v="14-03-28"/>
    <x v="1"/>
    <n v="9789013767"/>
    <n v="14796"/>
    <x v="1"/>
    <n v="4"/>
    <x v="2"/>
    <x v="2"/>
    <n v="3"/>
    <s v="Q1"/>
  </r>
  <r>
    <x v="157"/>
    <x v="5"/>
    <s v="Sneha Das"/>
    <s v="15-03-28"/>
    <s v="20-03-28"/>
    <x v="2"/>
    <n v="9890124878"/>
    <n v="29995"/>
    <x v="0"/>
    <n v="5"/>
    <x v="2"/>
    <x v="2"/>
    <n v="3"/>
    <s v="Q1"/>
  </r>
  <r>
    <x v="158"/>
    <x v="2"/>
    <s v="Amit Sharma"/>
    <s v="20-03-28"/>
    <s v="23-03-28"/>
    <x v="0"/>
    <n v="9901235989"/>
    <n v="6597"/>
    <x v="0"/>
    <n v="3"/>
    <x v="2"/>
    <x v="2"/>
    <n v="3"/>
    <s v="Q1"/>
  </r>
  <r>
    <x v="159"/>
    <x v="0"/>
    <s v="Divya Gupta"/>
    <s v="25-03-28"/>
    <s v="27-03-28"/>
    <x v="0"/>
    <n v="9012346090"/>
    <n v="5798"/>
    <x v="1"/>
    <n v="2"/>
    <x v="2"/>
    <x v="2"/>
    <n v="3"/>
    <s v="Q1"/>
  </r>
  <r>
    <x v="160"/>
    <x v="3"/>
    <s v="Rohan Patel"/>
    <s v="01-04-28"/>
    <s v="05-04-28"/>
    <x v="0"/>
    <n v="9123457101"/>
    <n v="16796"/>
    <x v="0"/>
    <n v="4"/>
    <x v="2"/>
    <x v="3"/>
    <n v="4"/>
    <s v="Q2"/>
  </r>
  <r>
    <x v="161"/>
    <x v="4"/>
    <s v="Ananya Singh"/>
    <s v="05-04-28"/>
    <s v="09-04-28"/>
    <x v="0"/>
    <n v="9234568212"/>
    <n v="9996"/>
    <x v="0"/>
    <n v="4"/>
    <x v="2"/>
    <x v="3"/>
    <n v="4"/>
    <s v="Q2"/>
  </r>
  <r>
    <x v="162"/>
    <x v="1"/>
    <s v="Sanjay Mehta"/>
    <s v="10-04-28"/>
    <s v="13-04-28"/>
    <x v="1"/>
    <n v="9345679323"/>
    <n v="11097"/>
    <x v="1"/>
    <n v="3"/>
    <x v="2"/>
    <x v="3"/>
    <n v="4"/>
    <s v="Q2"/>
  </r>
  <r>
    <x v="163"/>
    <x v="5"/>
    <s v="Priya Rao"/>
    <s v="15-04-28"/>
    <s v="18-04-28"/>
    <x v="2"/>
    <n v="9456780434"/>
    <n v="17997"/>
    <x v="0"/>
    <n v="3"/>
    <x v="2"/>
    <x v="3"/>
    <n v="4"/>
    <s v="Q2"/>
  </r>
  <r>
    <x v="164"/>
    <x v="2"/>
    <s v="Aditya Kumar"/>
    <s v="20-04-28"/>
    <s v="22-04-28"/>
    <x v="0"/>
    <n v="9567891545"/>
    <n v="4398"/>
    <x v="0"/>
    <n v="2"/>
    <x v="2"/>
    <x v="3"/>
    <n v="4"/>
    <s v="Q2"/>
  </r>
  <r>
    <x v="165"/>
    <x v="0"/>
    <s v="Kavya Nair"/>
    <s v="25-04-28"/>
    <s v="29-04-28"/>
    <x v="0"/>
    <n v="9678902656"/>
    <n v="11596"/>
    <x v="1"/>
    <n v="4"/>
    <x v="2"/>
    <x v="3"/>
    <n v="4"/>
    <s v="Q2"/>
  </r>
  <r>
    <x v="166"/>
    <x v="3"/>
    <s v="Neha Sharma"/>
    <s v="01-05-28"/>
    <s v="04-05-28"/>
    <x v="0"/>
    <n v="9789013767"/>
    <n v="12597"/>
    <x v="0"/>
    <n v="3"/>
    <x v="2"/>
    <x v="4"/>
    <n v="5"/>
    <s v="Q2"/>
  </r>
  <r>
    <x v="167"/>
    <x v="4"/>
    <s v="Rahul Gupta"/>
    <s v="05-05-28"/>
    <s v="08-05-28"/>
    <x v="0"/>
    <n v="9890124878"/>
    <n v="7497"/>
    <x v="0"/>
    <n v="3"/>
    <x v="2"/>
    <x v="4"/>
    <n v="5"/>
    <s v="Q2"/>
  </r>
  <r>
    <x v="168"/>
    <x v="1"/>
    <s v="Meera Patel"/>
    <s v="10-05-28"/>
    <s v="12-05-28"/>
    <x v="2"/>
    <n v="9901235989"/>
    <n v="7398"/>
    <x v="1"/>
    <n v="2"/>
    <x v="2"/>
    <x v="4"/>
    <n v="5"/>
    <s v="Q2"/>
  </r>
  <r>
    <x v="169"/>
    <x v="5"/>
    <s v="Nikhil Kapoor"/>
    <s v="15-05-28"/>
    <s v="18-05-28"/>
    <x v="2"/>
    <n v="9012346090"/>
    <n v="17997"/>
    <x v="0"/>
    <n v="3"/>
    <x v="2"/>
    <x v="4"/>
    <n v="5"/>
    <s v="Q2"/>
  </r>
  <r>
    <x v="170"/>
    <x v="2"/>
    <s v="Pooja Verma"/>
    <s v="20-05-28"/>
    <s v="23-05-28"/>
    <x v="0"/>
    <n v="9123457101"/>
    <n v="6597"/>
    <x v="0"/>
    <n v="3"/>
    <x v="2"/>
    <x v="4"/>
    <n v="5"/>
    <s v="Q2"/>
  </r>
  <r>
    <x v="171"/>
    <x v="0"/>
    <s v="Karthik Jain"/>
    <s v="25-05-28"/>
    <s v="27-05-28"/>
    <x v="0"/>
    <n v="9234568212"/>
    <n v="5798"/>
    <x v="1"/>
    <n v="2"/>
    <x v="2"/>
    <x v="4"/>
    <n v="5"/>
    <s v="Q2"/>
  </r>
  <r>
    <x v="172"/>
    <x v="3"/>
    <s v="Aisha Das"/>
    <s v="01-06-28"/>
    <s v="05-06-28"/>
    <x v="0"/>
    <n v="9345679323"/>
    <n v="16796"/>
    <x v="0"/>
    <n v="4"/>
    <x v="2"/>
    <x v="5"/>
    <n v="6"/>
    <s v="Q2"/>
  </r>
  <r>
    <x v="173"/>
    <x v="4"/>
    <s v="Varun Sharma"/>
    <s v="05-06-28"/>
    <s v="08-06-28"/>
    <x v="0"/>
    <n v="9456780434"/>
    <n v="7497"/>
    <x v="0"/>
    <n v="3"/>
    <x v="2"/>
    <x v="5"/>
    <n v="6"/>
    <s v="Q2"/>
  </r>
  <r>
    <x v="174"/>
    <x v="1"/>
    <s v="Sneha Gupta"/>
    <s v="10-06-28"/>
    <s v="13-06-28"/>
    <x v="1"/>
    <n v="9567891545"/>
    <n v="11097"/>
    <x v="1"/>
    <n v="3"/>
    <x v="2"/>
    <x v="5"/>
    <n v="6"/>
    <s v="Q2"/>
  </r>
  <r>
    <x v="175"/>
    <x v="5"/>
    <s v="Amit Patel"/>
    <s v="15-06-28"/>
    <s v="20-06-28"/>
    <x v="2"/>
    <n v="9678902656"/>
    <n v="29995"/>
    <x v="0"/>
    <n v="5"/>
    <x v="2"/>
    <x v="5"/>
    <n v="6"/>
    <s v="Q2"/>
  </r>
  <r>
    <x v="176"/>
    <x v="2"/>
    <s v="Divya Singh"/>
    <s v="20-06-28"/>
    <s v="22-06-28"/>
    <x v="0"/>
    <n v="9789013767"/>
    <n v="4398"/>
    <x v="0"/>
    <n v="2"/>
    <x v="2"/>
    <x v="5"/>
    <n v="6"/>
    <s v="Q2"/>
  </r>
  <r>
    <x v="177"/>
    <x v="0"/>
    <s v="Rohan Mehta"/>
    <s v="25-06-28"/>
    <s v="29-06-28"/>
    <x v="0"/>
    <n v="9890124878"/>
    <n v="11596"/>
    <x v="1"/>
    <n v="4"/>
    <x v="2"/>
    <x v="5"/>
    <n v="6"/>
    <s v="Q2"/>
  </r>
  <r>
    <x v="178"/>
    <x v="3"/>
    <s v="Ananya Rao"/>
    <s v="01-07-28"/>
    <s v="03-07-28"/>
    <x v="0"/>
    <n v="9901235989"/>
    <n v="8398"/>
    <x v="0"/>
    <n v="2"/>
    <x v="2"/>
    <x v="6"/>
    <n v="7"/>
    <s v="Q3"/>
  </r>
  <r>
    <x v="179"/>
    <x v="4"/>
    <s v="Sanjay Kumar"/>
    <s v="05-07-28"/>
    <s v="08-07-28"/>
    <x v="0"/>
    <n v="9012346090"/>
    <n v="7497"/>
    <x v="0"/>
    <n v="3"/>
    <x v="2"/>
    <x v="6"/>
    <n v="7"/>
    <s v="Q3"/>
  </r>
  <r>
    <x v="180"/>
    <x v="1"/>
    <s v="Priya Nair"/>
    <s v="10-07-28"/>
    <s v="14-07-28"/>
    <x v="1"/>
    <n v="9123457101"/>
    <n v="14796"/>
    <x v="1"/>
    <n v="4"/>
    <x v="2"/>
    <x v="6"/>
    <n v="7"/>
    <s v="Q3"/>
  </r>
  <r>
    <x v="181"/>
    <x v="5"/>
    <s v="Aditya Sharma"/>
    <s v="15-07-28"/>
    <s v="18-07-28"/>
    <x v="2"/>
    <n v="9234568212"/>
    <n v="17997"/>
    <x v="0"/>
    <n v="3"/>
    <x v="2"/>
    <x v="6"/>
    <n v="7"/>
    <s v="Q3"/>
  </r>
  <r>
    <x v="182"/>
    <x v="2"/>
    <s v="Kavya Gupta"/>
    <s v="20-07-28"/>
    <s v="23-07-28"/>
    <x v="0"/>
    <n v="9345679323"/>
    <n v="6597"/>
    <x v="0"/>
    <n v="3"/>
    <x v="2"/>
    <x v="6"/>
    <n v="7"/>
    <s v="Q3"/>
  </r>
  <r>
    <x v="183"/>
    <x v="0"/>
    <s v="Neha Patel"/>
    <s v="25-07-28"/>
    <s v="27-07-28"/>
    <x v="0"/>
    <n v="9456780434"/>
    <n v="5798"/>
    <x v="1"/>
    <n v="2"/>
    <x v="2"/>
    <x v="6"/>
    <n v="7"/>
    <s v="Q3"/>
  </r>
  <r>
    <x v="184"/>
    <x v="3"/>
    <s v="Rahul Singh"/>
    <s v="01-08-28"/>
    <s v="05-08-28"/>
    <x v="0"/>
    <n v="9567891545"/>
    <n v="16796"/>
    <x v="0"/>
    <n v="4"/>
    <x v="2"/>
    <x v="7"/>
    <n v="8"/>
    <s v="Q3"/>
  </r>
  <r>
    <x v="185"/>
    <x v="4"/>
    <s v="Meera Mehta"/>
    <s v="05-08-28"/>
    <s v="09-08-28"/>
    <x v="0"/>
    <n v="9678902656"/>
    <n v="9996"/>
    <x v="0"/>
    <n v="4"/>
    <x v="2"/>
    <x v="7"/>
    <n v="8"/>
    <s v="Q3"/>
  </r>
  <r>
    <x v="186"/>
    <x v="1"/>
    <s v="Nikhil Rao"/>
    <s v="10-08-28"/>
    <s v="12-08-28"/>
    <x v="1"/>
    <n v="9789013767"/>
    <n v="7398"/>
    <x v="1"/>
    <n v="2"/>
    <x v="2"/>
    <x v="7"/>
    <n v="8"/>
    <s v="Q3"/>
  </r>
  <r>
    <x v="187"/>
    <x v="5"/>
    <s v="Pooja Kumar"/>
    <s v="15-08-28"/>
    <s v="18-08-28"/>
    <x v="2"/>
    <n v="9890124878"/>
    <n v="17997"/>
    <x v="0"/>
    <n v="3"/>
    <x v="2"/>
    <x v="7"/>
    <n v="8"/>
    <s v="Q3"/>
  </r>
  <r>
    <x v="188"/>
    <x v="2"/>
    <s v="Karthik Nair"/>
    <s v="20-08-28"/>
    <s v="22-08-28"/>
    <x v="0"/>
    <n v="9901235989"/>
    <n v="4398"/>
    <x v="0"/>
    <n v="2"/>
    <x v="2"/>
    <x v="7"/>
    <n v="8"/>
    <s v="Q3"/>
  </r>
  <r>
    <x v="189"/>
    <x v="0"/>
    <s v="Aisha Sharma"/>
    <s v="25-08-28"/>
    <s v="29-08-28"/>
    <x v="0"/>
    <n v="9012346090"/>
    <n v="11596"/>
    <x v="1"/>
    <n v="4"/>
    <x v="2"/>
    <x v="7"/>
    <n v="8"/>
    <s v="Q3"/>
  </r>
  <r>
    <x v="190"/>
    <x v="3"/>
    <s v="Varun Gupta"/>
    <s v="01-09-28"/>
    <s v="04-09-28"/>
    <x v="0"/>
    <n v="9123457101"/>
    <n v="12597"/>
    <x v="0"/>
    <n v="3"/>
    <x v="2"/>
    <x v="8"/>
    <n v="9"/>
    <s v="Q3"/>
  </r>
  <r>
    <x v="191"/>
    <x v="4"/>
    <s v="Sneha Patel"/>
    <s v="05-09-28"/>
    <s v="08-09-28"/>
    <x v="0"/>
    <n v="9234568212"/>
    <n v="7497"/>
    <x v="0"/>
    <n v="3"/>
    <x v="2"/>
    <x v="8"/>
    <n v="9"/>
    <s v="Q3"/>
  </r>
  <r>
    <x v="192"/>
    <x v="1"/>
    <s v="Amit Singh"/>
    <s v="10-09-28"/>
    <s v="13-09-28"/>
    <x v="1"/>
    <n v="9345679323"/>
    <n v="11097"/>
    <x v="1"/>
    <n v="3"/>
    <x v="2"/>
    <x v="8"/>
    <n v="9"/>
    <s v="Q3"/>
  </r>
  <r>
    <x v="193"/>
    <x v="5"/>
    <s v="Divya Mehta"/>
    <s v="15-09-28"/>
    <s v="18-09-28"/>
    <x v="2"/>
    <n v="9456780434"/>
    <n v="17997"/>
    <x v="0"/>
    <n v="3"/>
    <x v="2"/>
    <x v="8"/>
    <n v="9"/>
    <s v="Q3"/>
  </r>
  <r>
    <x v="194"/>
    <x v="2"/>
    <s v="Rohan Rao"/>
    <s v="20-09-28"/>
    <s v="22-09-28"/>
    <x v="0"/>
    <n v="9567891545"/>
    <n v="4398"/>
    <x v="0"/>
    <n v="2"/>
    <x v="2"/>
    <x v="8"/>
    <n v="9"/>
    <s v="Q3"/>
  </r>
  <r>
    <x v="195"/>
    <x v="0"/>
    <s v="Ananya Kumar"/>
    <s v="25-09-28"/>
    <s v="29-09-28"/>
    <x v="0"/>
    <n v="9678902656"/>
    <n v="11596"/>
    <x v="1"/>
    <n v="4"/>
    <x v="2"/>
    <x v="8"/>
    <n v="9"/>
    <s v="Q3"/>
  </r>
  <r>
    <x v="196"/>
    <x v="3"/>
    <s v="Sanjay Nair"/>
    <s v="01-10-28"/>
    <s v="05-10-28"/>
    <x v="0"/>
    <n v="9789013767"/>
    <n v="16796"/>
    <x v="0"/>
    <n v="4"/>
    <x v="2"/>
    <x v="9"/>
    <n v="10"/>
    <s v="Q4"/>
  </r>
  <r>
    <x v="197"/>
    <x v="4"/>
    <s v="Priya Sharma"/>
    <s v="05-10-28"/>
    <s v="08-10-28"/>
    <x v="0"/>
    <n v="9890124878"/>
    <n v="7497"/>
    <x v="0"/>
    <n v="3"/>
    <x v="2"/>
    <x v="9"/>
    <n v="10"/>
    <s v="Q4"/>
  </r>
  <r>
    <x v="198"/>
    <x v="1"/>
    <s v="Aditya Gupta"/>
    <s v="10-10-28"/>
    <s v="14-10-28"/>
    <x v="1"/>
    <n v="9901235989"/>
    <n v="14796"/>
    <x v="1"/>
    <n v="4"/>
    <x v="2"/>
    <x v="9"/>
    <n v="10"/>
    <s v="Q4"/>
  </r>
  <r>
    <x v="199"/>
    <x v="5"/>
    <s v="Kavya Patel"/>
    <s v="15-10-28"/>
    <s v="18-10-28"/>
    <x v="2"/>
    <n v="9012346090"/>
    <n v="17997"/>
    <x v="0"/>
    <n v="3"/>
    <x v="2"/>
    <x v="9"/>
    <n v="10"/>
    <s v="Q4"/>
  </r>
  <r>
    <x v="200"/>
    <x v="2"/>
    <s v="Neha Kapoor"/>
    <s v="20-10-28"/>
    <s v="23-10-28"/>
    <x v="0"/>
    <n v="9123457201"/>
    <n v="6597"/>
    <x v="0"/>
    <n v="3"/>
    <x v="2"/>
    <x v="9"/>
    <n v="10"/>
    <s v="Q4"/>
  </r>
  <r>
    <x v="201"/>
    <x v="0"/>
    <s v="Rahul Sharma"/>
    <s v="25-10-28"/>
    <s v="27-10-28"/>
    <x v="0"/>
    <n v="9234568312"/>
    <n v="5798"/>
    <x v="1"/>
    <n v="2"/>
    <x v="2"/>
    <x v="9"/>
    <n v="10"/>
    <s v="Q4"/>
  </r>
  <r>
    <x v="202"/>
    <x v="3"/>
    <s v="Meera Gupta"/>
    <s v="01-11-28"/>
    <s v="05-11-28"/>
    <x v="0"/>
    <n v="9345679423"/>
    <n v="16796"/>
    <x v="0"/>
    <n v="4"/>
    <x v="2"/>
    <x v="10"/>
    <n v="11"/>
    <s v="Q4"/>
  </r>
  <r>
    <x v="203"/>
    <x v="4"/>
    <s v="Nikhil Patel"/>
    <s v="05-11-28"/>
    <s v="08-11-28"/>
    <x v="0"/>
    <n v="9456780534"/>
    <n v="7497"/>
    <x v="0"/>
    <n v="3"/>
    <x v="2"/>
    <x v="10"/>
    <n v="11"/>
    <s v="Q4"/>
  </r>
  <r>
    <x v="204"/>
    <x v="1"/>
    <s v="Pooja Singh"/>
    <s v="10-11-28"/>
    <s v="13-11-28"/>
    <x v="1"/>
    <n v="9567891645"/>
    <n v="11097"/>
    <x v="1"/>
    <n v="3"/>
    <x v="2"/>
    <x v="10"/>
    <n v="11"/>
    <s v="Q4"/>
  </r>
  <r>
    <x v="205"/>
    <x v="5"/>
    <s v="Karthik Mehta"/>
    <s v="15-11-28"/>
    <s v="20-11-28"/>
    <x v="2"/>
    <n v="9678902756"/>
    <n v="29995"/>
    <x v="0"/>
    <n v="5"/>
    <x v="2"/>
    <x v="10"/>
    <n v="11"/>
    <s v="Q4"/>
  </r>
  <r>
    <x v="206"/>
    <x v="2"/>
    <s v="Aisha Rao"/>
    <s v="20-11-28"/>
    <s v="22-11-28"/>
    <x v="0"/>
    <n v="9789013867"/>
    <n v="4398"/>
    <x v="0"/>
    <n v="2"/>
    <x v="2"/>
    <x v="10"/>
    <n v="11"/>
    <s v="Q4"/>
  </r>
  <r>
    <x v="207"/>
    <x v="0"/>
    <s v="Varun Kumar"/>
    <s v="25-11-28"/>
    <s v="29-11-28"/>
    <x v="0"/>
    <n v="9890124978"/>
    <n v="11596"/>
    <x v="1"/>
    <n v="4"/>
    <x v="2"/>
    <x v="10"/>
    <n v="11"/>
    <s v="Q4"/>
  </r>
  <r>
    <x v="208"/>
    <x v="3"/>
    <s v="Sneha Nair"/>
    <s v="01-12-28"/>
    <s v="04-12-28"/>
    <x v="0"/>
    <n v="9901236089"/>
    <n v="12597"/>
    <x v="0"/>
    <n v="3"/>
    <x v="2"/>
    <x v="11"/>
    <n v="12"/>
    <s v="Q4"/>
  </r>
  <r>
    <x v="209"/>
    <x v="4"/>
    <s v="Amit Sharma"/>
    <s v="05-12-28"/>
    <s v="08-12-28"/>
    <x v="0"/>
    <n v="9012347190"/>
    <n v="7497"/>
    <x v="0"/>
    <n v="3"/>
    <x v="2"/>
    <x v="11"/>
    <n v="12"/>
    <s v="Q4"/>
  </r>
  <r>
    <x v="210"/>
    <x v="1"/>
    <s v="Divya Gupta"/>
    <s v="10-12-28"/>
    <s v="14-12-28"/>
    <x v="1"/>
    <n v="9123457201"/>
    <n v="14796"/>
    <x v="1"/>
    <n v="4"/>
    <x v="2"/>
    <x v="11"/>
    <n v="12"/>
    <s v="Q4"/>
  </r>
  <r>
    <x v="211"/>
    <x v="5"/>
    <s v="Rohan Patel"/>
    <s v="15-12-28"/>
    <s v="18-12-28"/>
    <x v="2"/>
    <n v="9234568312"/>
    <n v="17997"/>
    <x v="0"/>
    <n v="3"/>
    <x v="2"/>
    <x v="11"/>
    <n v="12"/>
    <s v="Q4"/>
  </r>
  <r>
    <x v="212"/>
    <x v="2"/>
    <s v="Ananya Singh"/>
    <s v="20-12-28"/>
    <s v="23-12-28"/>
    <x v="0"/>
    <n v="9345679423"/>
    <n v="6597"/>
    <x v="0"/>
    <n v="3"/>
    <x v="2"/>
    <x v="11"/>
    <n v="12"/>
    <s v="Q4"/>
  </r>
  <r>
    <x v="213"/>
    <x v="0"/>
    <s v="Sanjay Mehta"/>
    <s v="25-12-28"/>
    <s v="27-12-28"/>
    <x v="0"/>
    <n v="9456780534"/>
    <n v="5798"/>
    <x v="1"/>
    <n v="2"/>
    <x v="2"/>
    <x v="11"/>
    <n v="12"/>
    <s v="Q4"/>
  </r>
  <r>
    <x v="214"/>
    <x v="3"/>
    <s v="Priya Rao"/>
    <s v="01-01-29"/>
    <s v="05-01-29"/>
    <x v="0"/>
    <n v="9567891645"/>
    <n v="16796"/>
    <x v="0"/>
    <n v="4"/>
    <x v="3"/>
    <x v="0"/>
    <n v="1"/>
    <s v="Q1"/>
  </r>
  <r>
    <x v="215"/>
    <x v="4"/>
    <s v="Aditya Kumar"/>
    <s v="05-01-29"/>
    <s v="09-01-29"/>
    <x v="0"/>
    <n v="9678902756"/>
    <n v="9996"/>
    <x v="0"/>
    <n v="4"/>
    <x v="3"/>
    <x v="0"/>
    <n v="1"/>
    <s v="Q1"/>
  </r>
  <r>
    <x v="216"/>
    <x v="1"/>
    <s v="Kavya Nair"/>
    <s v="10-01-29"/>
    <s v="12-01-29"/>
    <x v="2"/>
    <n v="9789013867"/>
    <n v="7398"/>
    <x v="1"/>
    <n v="2"/>
    <x v="3"/>
    <x v="0"/>
    <n v="1"/>
    <s v="Q1"/>
  </r>
  <r>
    <x v="217"/>
    <x v="5"/>
    <s v="Neha Sharma"/>
    <s v="15-01-29"/>
    <s v="18-01-29"/>
    <x v="2"/>
    <n v="9890124978"/>
    <n v="17997"/>
    <x v="0"/>
    <n v="3"/>
    <x v="3"/>
    <x v="0"/>
    <n v="1"/>
    <s v="Q1"/>
  </r>
  <r>
    <x v="218"/>
    <x v="2"/>
    <s v="Rahul Gupta"/>
    <s v="20-01-29"/>
    <s v="22-01-29"/>
    <x v="0"/>
    <n v="9901236089"/>
    <n v="4398"/>
    <x v="0"/>
    <n v="2"/>
    <x v="3"/>
    <x v="0"/>
    <n v="1"/>
    <s v="Q1"/>
  </r>
  <r>
    <x v="219"/>
    <x v="0"/>
    <s v="Meera Patel"/>
    <s v="25-01-29"/>
    <s v="29-01-29"/>
    <x v="0"/>
    <n v="9012347190"/>
    <n v="11596"/>
    <x v="1"/>
    <n v="4"/>
    <x v="3"/>
    <x v="0"/>
    <n v="1"/>
    <s v="Q1"/>
  </r>
  <r>
    <x v="220"/>
    <x v="3"/>
    <s v="Nikhil Singh"/>
    <s v="01-02-29"/>
    <s v="04-02-29"/>
    <x v="0"/>
    <n v="9123457201"/>
    <n v="12597"/>
    <x v="0"/>
    <n v="3"/>
    <x v="3"/>
    <x v="1"/>
    <n v="2"/>
    <s v="Q1"/>
  </r>
  <r>
    <x v="221"/>
    <x v="4"/>
    <s v="Pooja Mehta"/>
    <s v="05-02-29"/>
    <s v="08-02-29"/>
    <x v="0"/>
    <n v="9234568312"/>
    <n v="7497"/>
    <x v="0"/>
    <n v="3"/>
    <x v="3"/>
    <x v="1"/>
    <n v="2"/>
    <s v="Q1"/>
  </r>
  <r>
    <x v="222"/>
    <x v="1"/>
    <s v="Karthik Rao"/>
    <s v="10-02-29"/>
    <s v="13-02-29"/>
    <x v="1"/>
    <n v="9345679423"/>
    <n v="11097"/>
    <x v="1"/>
    <n v="3"/>
    <x v="3"/>
    <x v="1"/>
    <n v="2"/>
    <s v="Q1"/>
  </r>
  <r>
    <x v="223"/>
    <x v="5"/>
    <s v="Aisha Kumar"/>
    <s v="15-02-29"/>
    <s v="20-02-29"/>
    <x v="2"/>
    <n v="9456780534"/>
    <n v="29995"/>
    <x v="0"/>
    <n v="5"/>
    <x v="3"/>
    <x v="1"/>
    <n v="2"/>
    <s v="Q1"/>
  </r>
  <r>
    <x v="224"/>
    <x v="2"/>
    <s v="Varun Nair"/>
    <s v="20-02-29"/>
    <s v="22-02-29"/>
    <x v="0"/>
    <n v="9567891645"/>
    <n v="4398"/>
    <x v="0"/>
    <n v="2"/>
    <x v="3"/>
    <x v="1"/>
    <n v="2"/>
    <s v="Q1"/>
  </r>
  <r>
    <x v="225"/>
    <x v="0"/>
    <s v="Sneha Sharma"/>
    <s v="25-02-29"/>
    <s v="01-03-29"/>
    <x v="0"/>
    <n v="9678902756"/>
    <n v="11596"/>
    <x v="1"/>
    <n v="4"/>
    <x v="3"/>
    <x v="1"/>
    <n v="2"/>
    <s v="Q1"/>
  </r>
  <r>
    <x v="226"/>
    <x v="3"/>
    <s v="Amit Gupta"/>
    <s v="01-03-29"/>
    <s v="05-03-29"/>
    <x v="0"/>
    <n v="9789013867"/>
    <n v="16796"/>
    <x v="0"/>
    <n v="4"/>
    <x v="3"/>
    <x v="2"/>
    <n v="3"/>
    <s v="Q1"/>
  </r>
  <r>
    <x v="227"/>
    <x v="4"/>
    <s v="Divya Patel"/>
    <s v="05-03-29"/>
    <s v="08-03-29"/>
    <x v="0"/>
    <n v="9890124978"/>
    <n v="7497"/>
    <x v="0"/>
    <n v="3"/>
    <x v="3"/>
    <x v="2"/>
    <n v="3"/>
    <s v="Q1"/>
  </r>
  <r>
    <x v="228"/>
    <x v="1"/>
    <s v="Rohan Singh"/>
    <s v="10-03-29"/>
    <s v="14-03-29"/>
    <x v="1"/>
    <n v="9901236089"/>
    <n v="14796"/>
    <x v="1"/>
    <n v="4"/>
    <x v="3"/>
    <x v="2"/>
    <n v="3"/>
    <s v="Q1"/>
  </r>
  <r>
    <x v="229"/>
    <x v="5"/>
    <s v="Ananya Mehta"/>
    <s v="15-03-29"/>
    <s v="18-03-29"/>
    <x v="2"/>
    <n v="9012347190"/>
    <n v="17997"/>
    <x v="0"/>
    <n v="3"/>
    <x v="3"/>
    <x v="2"/>
    <n v="3"/>
    <s v="Q1"/>
  </r>
  <r>
    <x v="230"/>
    <x v="2"/>
    <s v="Sanjay Rao"/>
    <s v="20-03-29"/>
    <s v="23-03-29"/>
    <x v="0"/>
    <n v="9123457201"/>
    <n v="6597"/>
    <x v="0"/>
    <n v="3"/>
    <x v="3"/>
    <x v="2"/>
    <n v="3"/>
    <s v="Q1"/>
  </r>
  <r>
    <x v="231"/>
    <x v="0"/>
    <s v="Priya Kumar"/>
    <s v="25-03-29"/>
    <s v="27-03-29"/>
    <x v="0"/>
    <n v="9234568312"/>
    <n v="5798"/>
    <x v="1"/>
    <n v="2"/>
    <x v="3"/>
    <x v="2"/>
    <n v="3"/>
    <s v="Q1"/>
  </r>
  <r>
    <x v="232"/>
    <x v="3"/>
    <s v="Aditya Nair"/>
    <s v="01-04-29"/>
    <s v="04-04-29"/>
    <x v="0"/>
    <n v="9345679423"/>
    <n v="12597"/>
    <x v="0"/>
    <n v="3"/>
    <x v="3"/>
    <x v="3"/>
    <n v="4"/>
    <s v="Q2"/>
  </r>
  <r>
    <x v="233"/>
    <x v="4"/>
    <s v="Kavya Sharma"/>
    <s v="05-04-29"/>
    <s v="09-04-29"/>
    <x v="0"/>
    <n v="9456780534"/>
    <n v="9996"/>
    <x v="0"/>
    <n v="4"/>
    <x v="3"/>
    <x v="3"/>
    <n v="4"/>
    <s v="Q2"/>
  </r>
  <r>
    <x v="234"/>
    <x v="1"/>
    <s v="Neha Gupta"/>
    <s v="10-04-29"/>
    <s v="12-04-29"/>
    <x v="1"/>
    <n v="9567891645"/>
    <n v="7398"/>
    <x v="1"/>
    <n v="2"/>
    <x v="3"/>
    <x v="3"/>
    <n v="4"/>
    <s v="Q2"/>
  </r>
  <r>
    <x v="235"/>
    <x v="5"/>
    <s v="Rahul Patel"/>
    <s v="15-04-29"/>
    <s v="18-04-29"/>
    <x v="2"/>
    <n v="9678902756"/>
    <n v="17997"/>
    <x v="0"/>
    <n v="3"/>
    <x v="3"/>
    <x v="3"/>
    <n v="4"/>
    <s v="Q2"/>
  </r>
  <r>
    <x v="236"/>
    <x v="2"/>
    <s v="Meera Singh"/>
    <s v="20-04-29"/>
    <s v="22-04-29"/>
    <x v="0"/>
    <n v="9789013867"/>
    <n v="4398"/>
    <x v="0"/>
    <n v="2"/>
    <x v="3"/>
    <x v="3"/>
    <n v="4"/>
    <s v="Q2"/>
  </r>
  <r>
    <x v="237"/>
    <x v="0"/>
    <s v="Nikhil Mehta"/>
    <s v="25-04-29"/>
    <s v="29-04-29"/>
    <x v="0"/>
    <n v="9890124978"/>
    <n v="11596"/>
    <x v="1"/>
    <n v="4"/>
    <x v="3"/>
    <x v="3"/>
    <n v="4"/>
    <s v="Q2"/>
  </r>
  <r>
    <x v="238"/>
    <x v="3"/>
    <s v="Pooja Rao"/>
    <s v="01-05-29"/>
    <s v="05-05-29"/>
    <x v="0"/>
    <n v="9901236089"/>
    <n v="16796"/>
    <x v="0"/>
    <n v="4"/>
    <x v="3"/>
    <x v="4"/>
    <n v="5"/>
    <s v="Q2"/>
  </r>
  <r>
    <x v="239"/>
    <x v="4"/>
    <s v="Karthik Kumar"/>
    <s v="05-05-29"/>
    <s v="08-05-29"/>
    <x v="0"/>
    <n v="9012347190"/>
    <n v="7497"/>
    <x v="0"/>
    <n v="3"/>
    <x v="3"/>
    <x v="4"/>
    <n v="5"/>
    <s v="Q2"/>
  </r>
  <r>
    <x v="240"/>
    <x v="1"/>
    <s v="Aisha Nair"/>
    <s v="10-05-29"/>
    <s v="13-05-29"/>
    <x v="1"/>
    <n v="9123457201"/>
    <n v="11097"/>
    <x v="1"/>
    <n v="3"/>
    <x v="3"/>
    <x v="4"/>
    <n v="5"/>
    <s v="Q2"/>
  </r>
  <r>
    <x v="241"/>
    <x v="5"/>
    <s v="Varun Sharma"/>
    <s v="15-05-29"/>
    <s v="20-05-29"/>
    <x v="2"/>
    <n v="9234568312"/>
    <n v="29995"/>
    <x v="0"/>
    <n v="5"/>
    <x v="3"/>
    <x v="4"/>
    <n v="5"/>
    <s v="Q2"/>
  </r>
  <r>
    <x v="242"/>
    <x v="2"/>
    <s v="Sneha Gupta"/>
    <s v="20-05-29"/>
    <s v="22-05-29"/>
    <x v="0"/>
    <n v="9345679423"/>
    <n v="4398"/>
    <x v="0"/>
    <n v="2"/>
    <x v="3"/>
    <x v="4"/>
    <n v="5"/>
    <s v="Q2"/>
  </r>
  <r>
    <x v="243"/>
    <x v="0"/>
    <s v="Amit Patel"/>
    <s v="25-05-29"/>
    <s v="29-05-29"/>
    <x v="0"/>
    <n v="9456780534"/>
    <n v="11596"/>
    <x v="1"/>
    <n v="4"/>
    <x v="3"/>
    <x v="4"/>
    <n v="5"/>
    <s v="Q2"/>
  </r>
  <r>
    <x v="244"/>
    <x v="3"/>
    <s v="Divya Singh"/>
    <s v="01-06-29"/>
    <s v="04-06-29"/>
    <x v="0"/>
    <n v="9567891645"/>
    <n v="12597"/>
    <x v="0"/>
    <n v="3"/>
    <x v="3"/>
    <x v="5"/>
    <n v="6"/>
    <s v="Q2"/>
  </r>
  <r>
    <x v="245"/>
    <x v="4"/>
    <s v="Rohan Mehta"/>
    <s v="05-06-29"/>
    <s v="08-06-29"/>
    <x v="0"/>
    <n v="9678902756"/>
    <n v="7497"/>
    <x v="0"/>
    <n v="3"/>
    <x v="3"/>
    <x v="5"/>
    <n v="6"/>
    <s v="Q2"/>
  </r>
  <r>
    <x v="246"/>
    <x v="1"/>
    <s v="Ananya Rao"/>
    <s v="10-06-29"/>
    <s v="14-06-29"/>
    <x v="1"/>
    <n v="9789013867"/>
    <n v="14796"/>
    <x v="1"/>
    <n v="4"/>
    <x v="3"/>
    <x v="5"/>
    <n v="6"/>
    <s v="Q2"/>
  </r>
  <r>
    <x v="247"/>
    <x v="5"/>
    <s v="Sanjay Kumar"/>
    <s v="15-06-29"/>
    <s v="18-06-29"/>
    <x v="2"/>
    <n v="9890124978"/>
    <n v="17997"/>
    <x v="0"/>
    <n v="3"/>
    <x v="3"/>
    <x v="5"/>
    <n v="6"/>
    <s v="Q2"/>
  </r>
  <r>
    <x v="248"/>
    <x v="2"/>
    <s v="Priya Nair"/>
    <s v="20-06-29"/>
    <s v="23-06-29"/>
    <x v="0"/>
    <n v="9901236089"/>
    <n v="6597"/>
    <x v="0"/>
    <n v="3"/>
    <x v="3"/>
    <x v="5"/>
    <n v="6"/>
    <s v="Q2"/>
  </r>
  <r>
    <x v="249"/>
    <x v="0"/>
    <s v="Aditya Sharma"/>
    <s v="25-06-29"/>
    <s v="27-06-29"/>
    <x v="0"/>
    <n v="9012347190"/>
    <n v="5798"/>
    <x v="1"/>
    <n v="2"/>
    <x v="3"/>
    <x v="5"/>
    <n v="6"/>
    <s v="Q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6BE26C-7118-4534-BF2F-F78A58C30F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4" firstHeaderRow="1" firstDataRow="1" firstDataCol="1"/>
  <pivotFields count="14">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8"/>
  </rowFields>
  <rowItems count="3">
    <i>
      <x/>
    </i>
    <i>
      <x v="1"/>
    </i>
    <i t="grand">
      <x/>
    </i>
  </rowItems>
  <colItems count="1">
    <i/>
  </colItems>
  <dataFields count="1">
    <dataField name="Count of BookingID" fld="0" subtotal="count" baseField="0" baseItem="0"/>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3AB224-B964-49E5-95E1-DD2B5D795F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TotalAmount" fld="7" subtotal="average" baseField="0" baseItem="0" numFmtId="44"/>
  </dataFields>
  <formats count="1">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B3049A-28F7-45E1-B718-B06E9E8F53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BookingID" fld="0" subtotal="count" baseField="0" baseItem="0"/>
  </dataFields>
  <formats count="1">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73C174-F712-44C1-A69F-14973AA028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TotalAmount" fld="7" baseField="0" baseItem="0" numFmtId="44"/>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9C9E3A-D81D-440F-AC65-93EBB3B843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A30" firstHeaderRow="1" firstDataRow="1" firstDataCol="0"/>
  <pivotFields count="14">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pivotField showAll="0"/>
  </pivotFields>
  <rowItems count="1">
    <i/>
  </rowItems>
  <colItems count="1">
    <i/>
  </colItems>
  <dataFields count="1">
    <dataField name="Average of Stay Duration" fld="9" subtotal="average" baseField="0" baseItem="0"/>
  </dataFields>
  <formats count="1">
    <format dxfId="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1A41DF-3E26-4279-BEFC-7995FC96DB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4">
    <pivotField showAll="0"/>
    <pivotField showAll="0">
      <items count="7">
        <item x="0"/>
        <item x="4"/>
        <item x="1"/>
        <item x="3"/>
        <item x="2"/>
        <item x="5"/>
        <item t="default"/>
      </items>
    </pivotField>
    <pivotField showAll="0"/>
    <pivotField showAll="0"/>
    <pivotField showAll="0"/>
    <pivotField showAll="0">
      <items count="4">
        <item x="0"/>
        <item x="2"/>
        <item x="1"/>
        <item t="default"/>
      </items>
    </pivotField>
    <pivotField showAll="0"/>
    <pivotField dataField="1" showAll="0"/>
    <pivotField showAll="0">
      <items count="3">
        <item x="0"/>
        <item x="1"/>
        <item t="default"/>
      </items>
    </pivotField>
    <pivotField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TotalAmount"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3D40FD-8A63-48FD-85F1-210556922C9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4">
    <pivotField dataField="1" showAll="0"/>
    <pivotField showAll="0">
      <items count="7">
        <item x="0"/>
        <item x="4"/>
        <item x="1"/>
        <item x="3"/>
        <item x="2"/>
        <item x="5"/>
        <item t="default"/>
      </items>
    </pivotField>
    <pivotField showAll="0"/>
    <pivotField showAll="0"/>
    <pivotField showAll="0"/>
    <pivotField showAll="0">
      <items count="4">
        <item x="0"/>
        <item x="2"/>
        <item x="1"/>
        <item t="default"/>
      </items>
    </pivotField>
    <pivotField showAll="0"/>
    <pivotField showAll="0"/>
    <pivotField axis="axisRow" showAll="0">
      <items count="3">
        <item x="0"/>
        <item x="1"/>
        <item t="default"/>
      </items>
    </pivotField>
    <pivotField showAll="0"/>
    <pivotField showAll="0">
      <items count="5">
        <item x="0"/>
        <item x="1"/>
        <item x="2"/>
        <item x="3"/>
        <item t="default"/>
      </items>
    </pivotField>
    <pivotField showAll="0"/>
    <pivotField showAll="0"/>
    <pivotField showAll="0"/>
  </pivotFields>
  <rowFields count="1">
    <field x="8"/>
  </rowFields>
  <rowItems count="3">
    <i>
      <x/>
    </i>
    <i>
      <x v="1"/>
    </i>
    <i t="grand">
      <x/>
    </i>
  </rowItems>
  <colItems count="1">
    <i/>
  </colItems>
  <dataFields count="1">
    <dataField name="Count of BookingI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217378-A88C-48CF-AFA7-091290EE5CF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4">
    <pivotField showAll="0"/>
    <pivotField axis="axisRow" showAll="0">
      <items count="7">
        <item x="0"/>
        <item x="4"/>
        <item x="1"/>
        <item x="3"/>
        <item x="2"/>
        <item x="5"/>
        <item t="default"/>
      </items>
    </pivotField>
    <pivotField showAll="0"/>
    <pivotField showAll="0"/>
    <pivotField showAll="0"/>
    <pivotField showAll="0">
      <items count="4">
        <item x="0"/>
        <item x="2"/>
        <item x="1"/>
        <item t="default"/>
      </items>
    </pivotField>
    <pivotField showAll="0"/>
    <pivotField dataField="1" showAll="0"/>
    <pivotField showAll="0">
      <items count="3">
        <item x="0"/>
        <item x="1"/>
        <item t="default"/>
      </items>
    </pivotField>
    <pivotField showAll="0"/>
    <pivotField showAll="0">
      <items count="5">
        <item x="0"/>
        <item x="1"/>
        <item x="2"/>
        <item x="3"/>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Sum of TotalAmount"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F432DA-19F0-4D22-A63C-E6256DB1F83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4">
    <pivotField dataField="1" showAll="0"/>
    <pivotField axis="axisRow" showAll="0">
      <items count="7">
        <item x="0"/>
        <item x="4"/>
        <item x="1"/>
        <item x="3"/>
        <item x="2"/>
        <item x="5"/>
        <item t="default"/>
      </items>
    </pivotField>
    <pivotField showAll="0"/>
    <pivotField showAll="0"/>
    <pivotField showAll="0"/>
    <pivotField showAll="0">
      <items count="4">
        <item x="0"/>
        <item x="2"/>
        <item x="1"/>
        <item t="default"/>
      </items>
    </pivotField>
    <pivotField showAll="0"/>
    <pivotField showAll="0"/>
    <pivotField showAll="0">
      <items count="3">
        <item x="0"/>
        <item x="1"/>
        <item t="default"/>
      </items>
    </pivotField>
    <pivotField showAll="0"/>
    <pivotField showAll="0">
      <items count="5">
        <item x="0"/>
        <item x="1"/>
        <item x="2"/>
        <item x="3"/>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Booking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A8F300-4D84-400E-BF60-44B402492ED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4">
    <pivotField dataField="1" showAll="0"/>
    <pivotField showAll="0">
      <items count="7">
        <item x="0"/>
        <item x="4"/>
        <item x="1"/>
        <item x="3"/>
        <item x="2"/>
        <item x="5"/>
        <item t="default"/>
      </items>
    </pivotField>
    <pivotField showAll="0"/>
    <pivotField showAll="0"/>
    <pivotField showAll="0"/>
    <pivotField axis="axisRow" showAll="0">
      <items count="4">
        <item x="0"/>
        <item x="2"/>
        <item x="1"/>
        <item t="default"/>
      </items>
    </pivotField>
    <pivotField showAll="0"/>
    <pivotField showAll="0"/>
    <pivotField showAll="0">
      <items count="3">
        <item x="0"/>
        <item x="1"/>
        <item t="default"/>
      </items>
    </pivotField>
    <pivotField showAll="0"/>
    <pivotField showAll="0">
      <items count="5">
        <item x="0"/>
        <item x="1"/>
        <item x="2"/>
        <item x="3"/>
        <item t="default"/>
      </items>
    </pivotField>
    <pivotField showAll="0"/>
    <pivotField showAll="0"/>
    <pivotField showAll="0"/>
  </pivotFields>
  <rowFields count="1">
    <field x="5"/>
  </rowFields>
  <rowItems count="4">
    <i>
      <x/>
    </i>
    <i>
      <x v="1"/>
    </i>
    <i>
      <x v="2"/>
    </i>
    <i t="grand">
      <x/>
    </i>
  </rowItems>
  <colItems count="1">
    <i/>
  </colItems>
  <dataFields count="1">
    <dataField name="Count of Booking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81D20A-D62B-4D21-8CAE-95429B735D4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4">
    <pivotField showAll="0"/>
    <pivotField showAll="0">
      <items count="7">
        <item x="0"/>
        <item x="4"/>
        <item x="1"/>
        <item x="3"/>
        <item x="2"/>
        <item x="5"/>
        <item t="default"/>
      </items>
    </pivotField>
    <pivotField showAll="0"/>
    <pivotField showAll="0"/>
    <pivotField showAll="0"/>
    <pivotField showAll="0">
      <items count="4">
        <item x="0"/>
        <item x="2"/>
        <item x="1"/>
        <item t="default"/>
      </items>
    </pivotField>
    <pivotField showAll="0"/>
    <pivotField dataField="1" showAll="0"/>
    <pivotField axis="axisRow" showAll="0">
      <items count="3">
        <item x="0"/>
        <item x="1"/>
        <item t="default"/>
      </items>
    </pivotField>
    <pivotField showAll="0"/>
    <pivotField showAll="0">
      <items count="5">
        <item x="0"/>
        <item x="1"/>
        <item x="2"/>
        <item x="3"/>
        <item t="default"/>
      </items>
    </pivotField>
    <pivotField showAll="0"/>
    <pivotField showAll="0"/>
    <pivotField showAll="0"/>
  </pivotFields>
  <rowFields count="1">
    <field x="8"/>
  </rowFields>
  <rowItems count="3">
    <i>
      <x/>
    </i>
    <i>
      <x v="1"/>
    </i>
    <i t="grand">
      <x/>
    </i>
  </rowItems>
  <colItems count="1">
    <i/>
  </colItems>
  <dataFields count="1">
    <dataField name="Sum of TotalAmount" fld="7" baseField="0" baseItem="0" numFmtId="44"/>
  </dataFields>
  <formats count="1">
    <format dxfId="9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4" format="7" series="1">
      <pivotArea type="data" outline="0" fieldPosition="0">
        <references count="2">
          <reference field="4294967294" count="1" selected="0">
            <x v="0"/>
          </reference>
          <reference field="8" count="1" selected="0">
            <x v="1"/>
          </reference>
        </references>
      </pivotArea>
    </chartFormat>
    <chartFormat chart="0" format="3"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17B918-D920-43F4-B50F-4463C194D43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B9" firstHeaderRow="1" firstDataRow="1" firstDataCol="1"/>
  <pivotFields count="14">
    <pivotField showAll="0"/>
    <pivotField showAll="0">
      <items count="7">
        <item x="0"/>
        <item x="4"/>
        <item x="1"/>
        <item x="3"/>
        <item x="2"/>
        <item x="5"/>
        <item t="default"/>
      </items>
    </pivotField>
    <pivotField showAll="0"/>
    <pivotField showAll="0"/>
    <pivotField showAll="0"/>
    <pivotField showAll="0">
      <items count="4">
        <item x="0"/>
        <item x="2"/>
        <item x="1"/>
        <item t="default"/>
      </items>
    </pivotField>
    <pivotField showAll="0"/>
    <pivotField dataField="1" showAll="0"/>
    <pivotField axis="axisRow" showAll="0">
      <items count="3">
        <item x="0"/>
        <item x="1"/>
        <item t="default"/>
      </items>
    </pivotField>
    <pivotField showAll="0"/>
    <pivotField showAll="0">
      <items count="5">
        <item x="0"/>
        <item x="1"/>
        <item x="2"/>
        <item x="3"/>
        <item t="default"/>
      </items>
    </pivotField>
    <pivotField showAll="0"/>
    <pivotField showAll="0"/>
    <pivotField showAll="0"/>
  </pivotFields>
  <rowFields count="1">
    <field x="8"/>
  </rowFields>
  <rowItems count="3">
    <i>
      <x/>
    </i>
    <i>
      <x v="1"/>
    </i>
    <i t="grand">
      <x/>
    </i>
  </rowItems>
  <colItems count="1">
    <i/>
  </colItems>
  <dataFields count="1">
    <dataField name="Sum of TotalAmount" fld="7" baseField="0" baseItem="0" numFmtId="44"/>
  </dataFields>
  <formats count="1">
    <format dxfId="9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6F22A1B-87ED-4292-AB7D-7D2B76BEDF69}"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M2:M3" firstHeaderRow="1" firstDataRow="1" firstDataCol="0"/>
  <pivotFields count="14">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0"/>
        <item x="4"/>
        <item x="1"/>
        <item x="3"/>
        <item x="2"/>
        <item x="5"/>
        <item t="default"/>
      </items>
    </pivotField>
    <pivotField showAll="0"/>
    <pivotField showAll="0"/>
    <pivotField showAll="0"/>
    <pivotField showAll="0">
      <items count="4">
        <item x="0"/>
        <item x="2"/>
        <item x="1"/>
        <item t="default"/>
      </items>
    </pivotField>
    <pivotField showAll="0"/>
    <pivotField showAll="0"/>
    <pivotField dataField="1" showAll="0">
      <items count="3">
        <item x="0"/>
        <item x="1"/>
        <item t="default"/>
      </items>
    </pivotField>
    <pivotField showAll="0"/>
    <pivotField showAll="0">
      <items count="5">
        <item x="0"/>
        <item x="1"/>
        <item x="2"/>
        <item x="3"/>
        <item t="default"/>
      </items>
    </pivotField>
    <pivotField showAll="0"/>
    <pivotField showAll="0"/>
    <pivotField showAll="0"/>
  </pivotFields>
  <rowItems count="1">
    <i/>
  </rowItems>
  <colItems count="1">
    <i/>
  </colItems>
  <dataFields count="1">
    <dataField name="Paid %" fld="8" subtotal="count" baseField="0" baseItem="0"/>
  </dataFields>
  <formats count="14">
    <format dxfId="29">
      <pivotArea outline="0" collapsedLevelsAreSubtotals="1" fieldPosition="0"/>
    </format>
    <format dxfId="28">
      <pivotArea dataOnly="0" labelOnly="1" outline="0" axis="axisValues"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dataOnly="0" labelOnly="1" outline="0" axis="axisValues" fieldPosition="0"/>
    </format>
    <format dxfId="22">
      <pivotArea outline="0" collapsedLevelsAreSubtotals="1" fieldPosition="0"/>
    </format>
    <format dxfId="21">
      <pivotArea outline="0" collapsedLevelsAreSubtotals="1" fieldPosition="0"/>
    </format>
    <format dxfId="20">
      <pivotArea dataOnly="0" labelOnly="1" outline="0" axis="axisValues" fieldPosition="0"/>
    </format>
    <format dxfId="19">
      <pivotArea dataOnly="0" labelOnly="1" outline="0" axis="axisValues" fieldPosition="0"/>
    </format>
    <format dxfId="18">
      <pivotArea dataOnly="0" labelOnly="1" outline="0" axis="axisValues" fieldPosition="0"/>
    </format>
    <format dxfId="17">
      <pivotArea outline="0" collapsedLevelsAreSubtotals="1"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113BB3-1651-47B3-B693-E462A53763D0}"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J2:J3" firstHeaderRow="1" firstDataRow="1" firstDataCol="0"/>
  <pivotFields count="14">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0"/>
        <item x="4"/>
        <item x="1"/>
        <item x="3"/>
        <item x="2"/>
        <item x="5"/>
        <item t="default"/>
      </items>
    </pivotField>
    <pivotField showAll="0"/>
    <pivotField showAll="0"/>
    <pivotField showAll="0"/>
    <pivotField showAll="0">
      <items count="4">
        <item x="0"/>
        <item x="2"/>
        <item x="1"/>
        <item t="default"/>
      </items>
    </pivotField>
    <pivotField showAll="0"/>
    <pivotField showAll="0"/>
    <pivotField showAll="0">
      <items count="3">
        <item x="0"/>
        <item x="1"/>
        <item t="default"/>
      </items>
    </pivotField>
    <pivotField dataField="1" showAll="0"/>
    <pivotField showAll="0">
      <items count="5">
        <item x="0"/>
        <item x="1"/>
        <item x="2"/>
        <item x="3"/>
        <item t="default"/>
      </items>
    </pivotField>
    <pivotField showAll="0"/>
    <pivotField showAll="0"/>
    <pivotField showAll="0"/>
  </pivotFields>
  <rowItems count="1">
    <i/>
  </rowItems>
  <colItems count="1">
    <i/>
  </colItems>
  <dataFields count="1">
    <dataField name="Avg Stay" fld="9" subtotal="average" baseField="0" baseItem="0"/>
  </dataFields>
  <formats count="14">
    <format dxfId="43">
      <pivotArea outline="0" collapsedLevelsAreSubtotals="1" fieldPosition="0"/>
    </format>
    <format dxfId="42">
      <pivotArea dataOnly="0" labelOnly="1" outline="0" axis="axisValues"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 dxfId="37">
      <pivotArea outline="0" collapsedLevelsAreSubtotals="1" fieldPosition="0"/>
    </format>
    <format dxfId="36">
      <pivotArea dataOnly="0" labelOnly="1" outline="0" axis="axisValues" fieldPosition="0"/>
    </format>
    <format dxfId="35">
      <pivotArea outline="0" collapsedLevelsAreSubtotals="1" fieldPosition="0"/>
    </format>
    <format dxfId="34">
      <pivotArea dataOnly="0" labelOnly="1" outline="0" axis="axisValues" fieldPosition="0"/>
    </format>
    <format dxfId="33">
      <pivotArea dataOnly="0" labelOnly="1" outline="0" axis="axisValues" fieldPosition="0"/>
    </format>
    <format dxfId="32">
      <pivotArea dataOnly="0" labelOnly="1" outline="0" axis="axisValues" fieldPosition="0"/>
    </format>
    <format dxfId="31">
      <pivotArea outline="0" collapsedLevelsAreSubtotals="1" fieldPosition="0"/>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2BDD54C-D059-47DD-9A0B-A957026EDDA7}"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F2:F3" firstHeaderRow="1" firstDataRow="1" firstDataCol="0"/>
  <pivotFields count="14">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0"/>
        <item x="4"/>
        <item x="1"/>
        <item x="3"/>
        <item x="2"/>
        <item x="5"/>
        <item t="default"/>
      </items>
    </pivotField>
    <pivotField showAll="0"/>
    <pivotField showAll="0"/>
    <pivotField showAll="0"/>
    <pivotField showAll="0">
      <items count="4">
        <item x="0"/>
        <item x="2"/>
        <item x="1"/>
        <item t="default"/>
      </items>
    </pivotField>
    <pivotField showAll="0"/>
    <pivotField showAll="0"/>
    <pivotField showAll="0">
      <items count="3">
        <item x="0"/>
        <item x="1"/>
        <item t="default"/>
      </items>
    </pivotField>
    <pivotField showAll="0"/>
    <pivotField showAll="0">
      <items count="5">
        <item x="0"/>
        <item x="1"/>
        <item x="2"/>
        <item x="3"/>
        <item t="default"/>
      </items>
    </pivotField>
    <pivotField showAll="0"/>
    <pivotField showAll="0"/>
    <pivotField showAll="0"/>
  </pivotFields>
  <rowItems count="1">
    <i/>
  </rowItems>
  <colItems count="1">
    <i/>
  </colItems>
  <dataFields count="1">
    <dataField name="No. of Booking" fld="0" subtotal="count" baseField="0" baseItem="0"/>
  </dataFields>
  <formats count="14">
    <format dxfId="57">
      <pivotArea outline="0" collapsedLevelsAreSubtotals="1" fieldPosition="0"/>
    </format>
    <format dxfId="56">
      <pivotArea dataOnly="0" labelOnly="1" outline="0" axis="axisValues"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outline="0" collapsedLevelsAreSubtotals="1" fieldPosition="0"/>
    </format>
    <format dxfId="50">
      <pivotArea dataOnly="0" labelOnly="1" outline="0" axis="axisValues" fieldPosition="0"/>
    </format>
    <format dxfId="49">
      <pivotArea outline="0" collapsedLevelsAreSubtotals="1" fieldPosition="0"/>
    </format>
    <format dxfId="48">
      <pivotArea dataOnly="0" labelOnly="1" outline="0" axis="axisValues" fieldPosition="0"/>
    </format>
    <format dxfId="47">
      <pivotArea dataOnly="0" labelOnly="1" outline="0" axis="axisValues" fieldPosition="0"/>
    </format>
    <format dxfId="46">
      <pivotArea dataOnly="0" labelOnly="1" outline="0" axis="axisValues" fieldPosition="0"/>
    </format>
    <format dxfId="45">
      <pivotArea outline="0" collapsedLevelsAreSubtotals="1"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A97F3CC-C970-4285-A066-8DA46BC23B39}"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B2:B3" firstHeaderRow="1" firstDataRow="1" firstDataCol="0"/>
  <pivotFields count="14">
    <pivotField showAll="0"/>
    <pivotField showAll="0">
      <items count="7">
        <item x="0"/>
        <item x="4"/>
        <item x="1"/>
        <item x="3"/>
        <item x="2"/>
        <item x="5"/>
        <item t="default"/>
      </items>
    </pivotField>
    <pivotField showAll="0"/>
    <pivotField showAll="0"/>
    <pivotField showAll="0"/>
    <pivotField showAll="0">
      <items count="4">
        <item x="0"/>
        <item x="2"/>
        <item x="1"/>
        <item t="default"/>
      </items>
    </pivotField>
    <pivotField showAll="0"/>
    <pivotField dataField="1" showAll="0"/>
    <pivotField showAll="0">
      <items count="3">
        <item x="0"/>
        <item x="1"/>
        <item t="default"/>
      </items>
    </pivotField>
    <pivotField showAll="0"/>
    <pivotField showAll="0">
      <items count="5">
        <item x="0"/>
        <item x="1"/>
        <item x="2"/>
        <item x="3"/>
        <item t="default"/>
      </items>
    </pivotField>
    <pivotField showAll="0"/>
    <pivotField showAll="0"/>
    <pivotField showAll="0"/>
  </pivotFields>
  <rowItems count="1">
    <i/>
  </rowItems>
  <colItems count="1">
    <i/>
  </colItems>
  <dataFields count="1">
    <dataField name="Revenue" fld="7" baseField="0" baseItem="0" numFmtId="44"/>
  </dataFields>
  <formats count="19">
    <format dxfId="76">
      <pivotArea outline="0" collapsedLevelsAreSubtotals="1" fieldPosition="0"/>
    </format>
    <format dxfId="75">
      <pivotArea dataOnly="0" labelOnly="1" outline="0" axis="axisValues"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dataOnly="0" labelOnly="1" outline="0" axis="axisValues" fieldPosition="0"/>
    </format>
    <format dxfId="70">
      <pivotArea type="all" dataOnly="0" outline="0" fieldPosition="0"/>
    </format>
    <format dxfId="69">
      <pivotArea dataOnly="0" labelOnly="1" outline="0" axis="axisValues" fieldPosition="0"/>
    </format>
    <format dxfId="68">
      <pivotArea type="all" dataOnly="0" outline="0" fieldPosition="0"/>
    </format>
    <format dxfId="67">
      <pivotArea dataOnly="0" labelOnly="1" outline="0" axis="axisValues"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dataOnly="0" labelOnly="1" outline="0" axis="axisValues" fieldPosition="0"/>
    </format>
    <format dxfId="61">
      <pivotArea dataOnly="0" labelOnly="1" outline="0" axis="axisValues" fieldPosition="0"/>
    </format>
    <format dxfId="60">
      <pivotArea dataOnly="0" labelOnly="1" outline="0" axis="axisValues" fieldPosition="0"/>
    </format>
    <format dxfId="59">
      <pivotArea outline="0" collapsedLevelsAreSubtotals="1" fieldPosition="0"/>
    </format>
    <format dxfId="5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3A31B96-545B-4121-9A93-11441739092C}" name="PivotTable2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Q2:Q3" firstHeaderRow="1" firstDataRow="1" firstDataCol="0"/>
  <pivotFields count="14">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items count="7">
        <item x="0"/>
        <item x="4"/>
        <item x="1"/>
        <item x="3"/>
        <item x="2"/>
        <item x="5"/>
        <item t="default"/>
      </items>
    </pivotField>
    <pivotField showAll="0"/>
    <pivotField showAll="0"/>
    <pivotField showAll="0"/>
    <pivotField dataField="1" showAll="0">
      <items count="4">
        <item x="0"/>
        <item x="2"/>
        <item x="1"/>
        <item t="default"/>
      </items>
    </pivotField>
    <pivotField showAll="0"/>
    <pivotField showAll="0"/>
    <pivotField showAll="0">
      <items count="3">
        <item x="0"/>
        <item x="1"/>
        <item t="default"/>
      </items>
    </pivotField>
    <pivotField showAll="0"/>
    <pivotField showAll="0">
      <items count="5">
        <item x="0"/>
        <item x="1"/>
        <item x="2"/>
        <item x="3"/>
        <item t="default"/>
      </items>
    </pivotField>
    <pivotField showAll="0"/>
    <pivotField showAll="0"/>
    <pivotField showAll="0"/>
  </pivotFields>
  <rowItems count="1">
    <i/>
  </rowItems>
  <colItems count="1">
    <i/>
  </colItems>
  <dataFields count="1">
    <dataField name="Total No. of Guests" fld="5" baseField="0" baseItem="0"/>
  </dataFields>
  <formats count="14">
    <format dxfId="90">
      <pivotArea outline="0" collapsedLevelsAreSubtotals="1" fieldPosition="0"/>
    </format>
    <format dxfId="89">
      <pivotArea dataOnly="0" labelOnly="1" outline="0" axis="axisValues" fieldPosition="0"/>
    </format>
    <format dxfId="88">
      <pivotArea outline="0" collapsedLevelsAreSubtotals="1" fieldPosition="0"/>
    </format>
    <format dxfId="87">
      <pivotArea type="all" dataOnly="0" outline="0" fieldPosition="0"/>
    </format>
    <format dxfId="86">
      <pivotArea outline="0" collapsedLevelsAreSubtotals="1" fieldPosition="0"/>
    </format>
    <format dxfId="85">
      <pivotArea dataOnly="0" labelOnly="1" outline="0" axis="axisValues" fieldPosition="0"/>
    </format>
    <format dxfId="84">
      <pivotArea dataOnly="0" labelOnly="1" outline="0" axis="axisValues" fieldPosition="0"/>
    </format>
    <format dxfId="83">
      <pivotArea outline="0" collapsedLevelsAreSubtotals="1" fieldPosition="0"/>
    </format>
    <format dxfId="82">
      <pivotArea outline="0" collapsedLevelsAreSubtotals="1" fieldPosition="0"/>
    </format>
    <format dxfId="81">
      <pivotArea dataOnly="0" labelOnly="1" outline="0" axis="axisValues" fieldPosition="0"/>
    </format>
    <format dxfId="80">
      <pivotArea dataOnly="0" labelOnly="1" outline="0" axis="axisValues" fieldPosition="0"/>
    </format>
    <format dxfId="79">
      <pivotArea dataOnly="0" labelOnly="1" outline="0" axis="axisValues" fieldPosition="0"/>
    </format>
    <format dxfId="78">
      <pivotArea outline="0" collapsedLevelsAreSubtotals="1" fieldPosition="0"/>
    </format>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No" xr10:uid="{D7B642E5-D193-46FB-BEA7-2F0DBF91C9AE}" sourceName="RoomNo">
  <pivotTables>
    <pivotTable tabId="12" name="PivotTable12"/>
    <pivotTable tabId="9" name="PivotTable10"/>
    <pivotTable tabId="11" name="PivotTable11"/>
    <pivotTable tabId="7" name="PivotTable9"/>
    <pivotTable tabId="6" name="PivotTable8"/>
    <pivotTable tabId="5" name="PivotTable7"/>
    <pivotTable tabId="4" name="PivotTable6"/>
    <pivotTable tabId="15" name="PivotTable19"/>
    <pivotTable tabId="15" name="PivotTable20"/>
    <pivotTable tabId="15" name="PivotTable21"/>
    <pivotTable tabId="15" name="PivotTable22"/>
    <pivotTable tabId="15" name="PivotTable23"/>
  </pivotTables>
  <data>
    <tabular pivotCacheId="1789889497">
      <items count="6">
        <i x="0" s="1"/>
        <i x="4" s="1"/>
        <i x="1" s="1"/>
        <i x="3"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uests" xr10:uid="{C4D36F7B-951A-4971-8FF8-4A90AEB83259}" sourceName="Guests">
  <pivotTables>
    <pivotTable tabId="12" name="PivotTable12"/>
    <pivotTable tabId="9" name="PivotTable10"/>
    <pivotTable tabId="11" name="PivotTable11"/>
    <pivotTable tabId="7" name="PivotTable9"/>
    <pivotTable tabId="6" name="PivotTable8"/>
    <pivotTable tabId="5" name="PivotTable7"/>
    <pivotTable tabId="4" name="PivotTable6"/>
    <pivotTable tabId="15" name="PivotTable19"/>
    <pivotTable tabId="15" name="PivotTable20"/>
    <pivotTable tabId="15" name="PivotTable21"/>
    <pivotTable tabId="15" name="PivotTable22"/>
    <pivotTable tabId="15" name="PivotTable23"/>
  </pivotTables>
  <data>
    <tabular pivotCacheId="17898894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Status" xr10:uid="{47629A74-15E7-4AD6-9AED-6A3ECFB8DF31}" sourceName="PaymentStatus">
  <pivotTables>
    <pivotTable tabId="12" name="PivotTable12"/>
    <pivotTable tabId="9" name="PivotTable10"/>
    <pivotTable tabId="11" name="PivotTable11"/>
    <pivotTable tabId="7" name="PivotTable9"/>
    <pivotTable tabId="6" name="PivotTable8"/>
    <pivotTable tabId="5" name="PivotTable7"/>
    <pivotTable tabId="4" name="PivotTable6"/>
    <pivotTable tabId="15" name="PivotTable19"/>
    <pivotTable tabId="15" name="PivotTable20"/>
    <pivotTable tabId="15" name="PivotTable21"/>
    <pivotTable tabId="15" name="PivotTable22"/>
    <pivotTable tabId="15" name="PivotTable23"/>
  </pivotTables>
  <data>
    <tabular pivotCacheId="178988949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D9FE457-1660-4345-97BC-07FDC11E4FCE}" sourceName="Year">
  <pivotTables>
    <pivotTable tabId="12" name="PivotTable12"/>
    <pivotTable tabId="9" name="PivotTable10"/>
    <pivotTable tabId="11" name="PivotTable11"/>
    <pivotTable tabId="7" name="PivotTable9"/>
    <pivotTable tabId="6" name="PivotTable8"/>
    <pivotTable tabId="5" name="PivotTable7"/>
    <pivotTable tabId="4" name="PivotTable6"/>
    <pivotTable tabId="15" name="PivotTable19"/>
    <pivotTable tabId="15" name="PivotTable20"/>
    <pivotTable tabId="15" name="PivotTable21"/>
    <pivotTable tabId="15" name="PivotTable22"/>
    <pivotTable tabId="15" name="PivotTable23"/>
  </pivotTables>
  <data>
    <tabular pivotCacheId="178988949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No" xr10:uid="{5AD7335F-A18E-45FA-A62D-ADAF691F518C}" cache="Slicer_RoomNo" caption="RoomNo" rowHeight="241300"/>
  <slicer name="Guests" xr10:uid="{C217F2D5-83C6-4AA6-A027-BC0D2D528192}" cache="Slicer_Guests" caption="Guests" rowHeight="241300"/>
  <slicer name="PaymentStatus" xr10:uid="{E0F73816-370E-495A-811B-A0F3652A90E6}" cache="Slicer_PaymentStatus" caption="PaymentStatus" rowHeight="241300"/>
  <slicer name="Year" xr10:uid="{53D1C051-6A6C-458C-80A6-D795AE46C44E}"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No 1" xr10:uid="{E35ABD4A-F52B-431A-A9B6-77850ECC613B}" cache="Slicer_RoomNo" caption="RoomNo" rowHeight="241300"/>
  <slicer name="Guests 1" xr10:uid="{874D0E70-9CC2-4AB4-85CF-06071CD9EE4E}" cache="Slicer_Guests" caption="Guests" rowHeight="241300"/>
  <slicer name="PaymentStatus 1" xr10:uid="{5C01683D-790B-46C8-95A4-5EDCC7C646EF}" cache="Slicer_PaymentStatus" caption="PaymentStatus" rowHeight="241300"/>
  <slicer name="Year 1" xr10:uid="{A521D296-65DA-469F-ABBD-0FFB5B05B35A}"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524F6E-2822-4050-BDB9-9EEAD5A67F85}" name="tblBookings" displayName="tblBookings" ref="A1:N251" totalsRowShown="0" dataDxfId="15" tableBorderDxfId="14">
  <autoFilter ref="A1:N251" xr:uid="{57524F6E-2822-4050-BDB9-9EEAD5A67F85}"/>
  <tableColumns count="14">
    <tableColumn id="1" xr3:uid="{9170F65A-F052-4775-803A-F0FBBFAD0AA0}" name="BookingID" dataDxfId="13"/>
    <tableColumn id="2" xr3:uid="{1E10062C-A81B-4B63-8045-5648A68D87A7}" name="RoomNo" dataDxfId="12"/>
    <tableColumn id="3" xr3:uid="{71B329FD-1710-4DCE-A840-35DD546C2F97}" name="GuestName" dataDxfId="11"/>
    <tableColumn id="4" xr3:uid="{23C75C8D-4109-4335-B2CB-76B286B71BE4}" name="CheckIn" dataDxfId="10"/>
    <tableColumn id="5" xr3:uid="{DAC0EA6A-509E-4F56-9CCF-DD5AD73F1591}" name="CheckOut" dataDxfId="9"/>
    <tableColumn id="6" xr3:uid="{BD3692F2-E7F0-4BB0-BF06-0741FF169716}" name="Guests" dataDxfId="8"/>
    <tableColumn id="7" xr3:uid="{B42BA88D-A5D8-4B15-85E0-EC46F727D6FB}" name="Phone" dataDxfId="7"/>
    <tableColumn id="8" xr3:uid="{6DCA41DB-C3CB-419A-B20F-B0609A2257FF}" name="TotalAmount" dataDxfId="6"/>
    <tableColumn id="9" xr3:uid="{C5365293-BEC3-49C1-B36C-9003272469AC}" name="PaymentStatus" dataDxfId="5"/>
    <tableColumn id="10" xr3:uid="{88565866-34C1-41F2-BB74-E6BDE2763311}" name="Stay Duration" dataDxfId="4">
      <calculatedColumnFormula>tblBookings[[#This Row],[CheckOut]]-tblBookings[[#This Row],[CheckIn]]</calculatedColumnFormula>
    </tableColumn>
    <tableColumn id="11" xr3:uid="{AC06E631-1137-4297-9C19-CAE06ED64DBA}" name="Year" dataDxfId="3">
      <calculatedColumnFormula>YEAR(tblBookings[[#This Row],[CheckIn]])</calculatedColumnFormula>
    </tableColumn>
    <tableColumn id="12" xr3:uid="{299C0F0F-6331-4F7C-99A1-7A3C94402C60}" name="Month" dataDxfId="2">
      <calculatedColumnFormula>TEXT(tblBookings[[#This Row],[CheckIn]],"MMM")</calculatedColumnFormula>
    </tableColumn>
    <tableColumn id="13" xr3:uid="{479D8A84-0D9D-4539-940F-33BEBB3A43E2}" name="Month Number" dataDxfId="1">
      <calculatedColumnFormula>MONTH(tblBookings[[#This Row],[CheckIn]])</calculatedColumnFormula>
    </tableColumn>
    <tableColumn id="14" xr3:uid="{3A8D2957-E3E3-4152-8B92-EF91FE9527CD}" name="Quarter" dataDxfId="0">
      <calculatedColumnFormula>"Q"&amp;ROUNDUP(MONTH(tblBookings[[#This Row],[CheckIn]])/3,0)</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12.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5.xml"/><Relationship Id="rId7" Type="http://schemas.openxmlformats.org/officeDocument/2006/relationships/drawing" Target="../drawings/drawing8.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rinterSettings" Target="../printerSettings/printerSettings9.bin"/><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7872-522D-47C6-B7A0-4E6C0D2A76DE}">
  <dimension ref="A1:B30"/>
  <sheetViews>
    <sheetView topLeftCell="A10" workbookViewId="0">
      <selection activeCell="D27" sqref="D27"/>
    </sheetView>
  </sheetViews>
  <sheetFormatPr defaultRowHeight="14" x14ac:dyDescent="0.3"/>
  <cols>
    <col min="1" max="1" width="21.83203125" customWidth="1"/>
    <col min="2" max="2" width="17.25" customWidth="1"/>
  </cols>
  <sheetData>
    <row r="1" spans="1:1" x14ac:dyDescent="0.3">
      <c r="A1" t="s">
        <v>913</v>
      </c>
    </row>
    <row r="3" spans="1:1" x14ac:dyDescent="0.3">
      <c r="A3" t="s">
        <v>907</v>
      </c>
    </row>
    <row r="4" spans="1:1" x14ac:dyDescent="0.3">
      <c r="A4" s="15">
        <v>2835926</v>
      </c>
    </row>
    <row r="7" spans="1:1" x14ac:dyDescent="0.3">
      <c r="A7" t="s">
        <v>914</v>
      </c>
    </row>
    <row r="9" spans="1:1" x14ac:dyDescent="0.3">
      <c r="A9" t="s">
        <v>908</v>
      </c>
    </row>
    <row r="10" spans="1:1" x14ac:dyDescent="0.3">
      <c r="A10" s="15">
        <v>250</v>
      </c>
    </row>
    <row r="13" spans="1:1" x14ac:dyDescent="0.3">
      <c r="A13" t="s">
        <v>915</v>
      </c>
    </row>
    <row r="15" spans="1:1" x14ac:dyDescent="0.3">
      <c r="A15" t="s">
        <v>909</v>
      </c>
    </row>
    <row r="16" spans="1:1" x14ac:dyDescent="0.3">
      <c r="A16" s="15">
        <v>11343.704</v>
      </c>
    </row>
    <row r="19" spans="1:2" x14ac:dyDescent="0.3">
      <c r="A19" t="s">
        <v>916</v>
      </c>
    </row>
    <row r="21" spans="1:2" x14ac:dyDescent="0.3">
      <c r="A21" s="16" t="s">
        <v>910</v>
      </c>
      <c r="B21" t="s">
        <v>908</v>
      </c>
    </row>
    <row r="22" spans="1:2" x14ac:dyDescent="0.3">
      <c r="A22" s="17" t="s">
        <v>13</v>
      </c>
      <c r="B22">
        <v>162</v>
      </c>
    </row>
    <row r="23" spans="1:2" x14ac:dyDescent="0.3">
      <c r="A23" s="17" t="s">
        <v>18</v>
      </c>
      <c r="B23">
        <v>88</v>
      </c>
    </row>
    <row r="24" spans="1:2" x14ac:dyDescent="0.3">
      <c r="A24" s="17" t="s">
        <v>911</v>
      </c>
      <c r="B24">
        <v>250</v>
      </c>
    </row>
    <row r="27" spans="1:2" x14ac:dyDescent="0.3">
      <c r="A27" t="s">
        <v>917</v>
      </c>
    </row>
    <row r="29" spans="1:2" x14ac:dyDescent="0.3">
      <c r="A29" t="s">
        <v>912</v>
      </c>
    </row>
    <row r="30" spans="1:2" x14ac:dyDescent="0.3">
      <c r="A30">
        <v>3.0960000000000001</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A94EE-9C2D-4ED1-9459-BE9FCC0CB032}">
  <dimension ref="A3:B16"/>
  <sheetViews>
    <sheetView workbookViewId="0">
      <selection activeCell="I21" sqref="I21"/>
    </sheetView>
  </sheetViews>
  <sheetFormatPr defaultRowHeight="14" x14ac:dyDescent="0.3"/>
  <cols>
    <col min="1" max="1" width="11.75" bestFit="1" customWidth="1"/>
    <col min="2" max="2" width="16.75" bestFit="1" customWidth="1"/>
  </cols>
  <sheetData>
    <row r="3" spans="1:2" x14ac:dyDescent="0.3">
      <c r="A3" s="16" t="s">
        <v>910</v>
      </c>
      <c r="B3" t="s">
        <v>907</v>
      </c>
    </row>
    <row r="4" spans="1:2" x14ac:dyDescent="0.3">
      <c r="A4" s="17" t="s">
        <v>918</v>
      </c>
      <c r="B4">
        <v>232633</v>
      </c>
    </row>
    <row r="5" spans="1:2" x14ac:dyDescent="0.3">
      <c r="A5" s="17" t="s">
        <v>919</v>
      </c>
      <c r="B5">
        <v>272827</v>
      </c>
    </row>
    <row r="6" spans="1:2" x14ac:dyDescent="0.3">
      <c r="A6" s="17" t="s">
        <v>920</v>
      </c>
      <c r="B6">
        <v>289522</v>
      </c>
    </row>
    <row r="7" spans="1:2" x14ac:dyDescent="0.3">
      <c r="A7" s="17" t="s">
        <v>921</v>
      </c>
      <c r="B7">
        <v>262328</v>
      </c>
    </row>
    <row r="8" spans="1:2" x14ac:dyDescent="0.3">
      <c r="A8" s="17" t="s">
        <v>922</v>
      </c>
      <c r="B8">
        <v>266327</v>
      </c>
    </row>
    <row r="9" spans="1:2" x14ac:dyDescent="0.3">
      <c r="A9" s="17" t="s">
        <v>923</v>
      </c>
      <c r="B9">
        <v>290323</v>
      </c>
    </row>
    <row r="10" spans="1:2" x14ac:dyDescent="0.3">
      <c r="A10" s="17" t="s">
        <v>924</v>
      </c>
      <c r="B10">
        <v>194047</v>
      </c>
    </row>
    <row r="11" spans="1:2" x14ac:dyDescent="0.3">
      <c r="A11" s="17" t="s">
        <v>925</v>
      </c>
      <c r="B11">
        <v>195545</v>
      </c>
    </row>
    <row r="12" spans="1:2" x14ac:dyDescent="0.3">
      <c r="A12" s="17" t="s">
        <v>926</v>
      </c>
      <c r="B12">
        <v>191747</v>
      </c>
    </row>
    <row r="13" spans="1:2" x14ac:dyDescent="0.3">
      <c r="A13" s="17" t="s">
        <v>927</v>
      </c>
      <c r="B13">
        <v>213941</v>
      </c>
    </row>
    <row r="14" spans="1:2" x14ac:dyDescent="0.3">
      <c r="A14" s="17" t="s">
        <v>928</v>
      </c>
      <c r="B14">
        <v>226341</v>
      </c>
    </row>
    <row r="15" spans="1:2" x14ac:dyDescent="0.3">
      <c r="A15" s="17" t="s">
        <v>929</v>
      </c>
      <c r="B15">
        <v>200345</v>
      </c>
    </row>
    <row r="16" spans="1:2" x14ac:dyDescent="0.3">
      <c r="A16" s="17" t="s">
        <v>911</v>
      </c>
      <c r="B16">
        <v>2835926</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145B0-5EAA-4625-86B1-2B343EA48E35}">
  <dimension ref="A3:B6"/>
  <sheetViews>
    <sheetView workbookViewId="0">
      <selection activeCell="D19" sqref="D19"/>
    </sheetView>
  </sheetViews>
  <sheetFormatPr defaultRowHeight="14" x14ac:dyDescent="0.3"/>
  <cols>
    <col min="1" max="1" width="11.75" bestFit="1" customWidth="1"/>
    <col min="2" max="2" width="16.08203125" bestFit="1" customWidth="1"/>
  </cols>
  <sheetData>
    <row r="3" spans="1:2" x14ac:dyDescent="0.3">
      <c r="A3" s="16" t="s">
        <v>910</v>
      </c>
      <c r="B3" t="s">
        <v>908</v>
      </c>
    </row>
    <row r="4" spans="1:2" x14ac:dyDescent="0.3">
      <c r="A4" s="17" t="s">
        <v>13</v>
      </c>
      <c r="B4">
        <v>162</v>
      </c>
    </row>
    <row r="5" spans="1:2" x14ac:dyDescent="0.3">
      <c r="A5" s="17" t="s">
        <v>18</v>
      </c>
      <c r="B5">
        <v>88</v>
      </c>
    </row>
    <row r="6" spans="1:2" x14ac:dyDescent="0.3">
      <c r="A6" s="17" t="s">
        <v>911</v>
      </c>
      <c r="B6">
        <v>250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86FBE-A6BE-4C10-8B1A-63ED78EBA71C}">
  <dimension ref="A3:B10"/>
  <sheetViews>
    <sheetView workbookViewId="0">
      <selection activeCell="L19" sqref="L19"/>
    </sheetView>
  </sheetViews>
  <sheetFormatPr defaultRowHeight="14" x14ac:dyDescent="0.3"/>
  <cols>
    <col min="1" max="1" width="11.75" bestFit="1" customWidth="1"/>
    <col min="2" max="2" width="16.75" bestFit="1" customWidth="1"/>
  </cols>
  <sheetData>
    <row r="3" spans="1:2" x14ac:dyDescent="0.3">
      <c r="A3" s="16" t="s">
        <v>910</v>
      </c>
      <c r="B3" t="s">
        <v>907</v>
      </c>
    </row>
    <row r="4" spans="1:2" x14ac:dyDescent="0.3">
      <c r="A4" s="17">
        <v>201</v>
      </c>
      <c r="B4">
        <v>379769</v>
      </c>
    </row>
    <row r="5" spans="1:2" x14ac:dyDescent="0.3">
      <c r="A5" s="17">
        <v>202</v>
      </c>
      <c r="B5">
        <v>332367</v>
      </c>
    </row>
    <row r="6" spans="1:2" x14ac:dyDescent="0.3">
      <c r="A6" s="17">
        <v>203</v>
      </c>
      <c r="B6">
        <v>484569</v>
      </c>
    </row>
    <row r="7" spans="1:2" x14ac:dyDescent="0.3">
      <c r="A7" s="17">
        <v>204</v>
      </c>
      <c r="B7">
        <v>566865</v>
      </c>
    </row>
    <row r="8" spans="1:2" x14ac:dyDescent="0.3">
      <c r="A8" s="17">
        <v>205</v>
      </c>
      <c r="B8">
        <v>226497</v>
      </c>
    </row>
    <row r="9" spans="1:2" x14ac:dyDescent="0.3">
      <c r="A9" s="17">
        <v>206</v>
      </c>
      <c r="B9">
        <v>845859</v>
      </c>
    </row>
    <row r="10" spans="1:2" x14ac:dyDescent="0.3">
      <c r="A10" s="17" t="s">
        <v>911</v>
      </c>
      <c r="B10">
        <v>2835926</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1FBA7-B240-4BCD-BB90-9ED916FDB84F}">
  <dimension ref="A3:B10"/>
  <sheetViews>
    <sheetView workbookViewId="0">
      <selection activeCell="K18" sqref="K18"/>
    </sheetView>
  </sheetViews>
  <sheetFormatPr defaultRowHeight="14" x14ac:dyDescent="0.3"/>
  <cols>
    <col min="1" max="1" width="11.75" bestFit="1" customWidth="1"/>
    <col min="2" max="2" width="16.08203125" bestFit="1" customWidth="1"/>
  </cols>
  <sheetData>
    <row r="3" spans="1:2" x14ac:dyDescent="0.3">
      <c r="A3" s="16" t="s">
        <v>910</v>
      </c>
      <c r="B3" t="s">
        <v>908</v>
      </c>
    </row>
    <row r="4" spans="1:2" x14ac:dyDescent="0.3">
      <c r="A4" s="17">
        <v>201</v>
      </c>
      <c r="B4">
        <v>43</v>
      </c>
    </row>
    <row r="5" spans="1:2" x14ac:dyDescent="0.3">
      <c r="A5" s="17">
        <v>202</v>
      </c>
      <c r="B5">
        <v>41</v>
      </c>
    </row>
    <row r="6" spans="1:2" x14ac:dyDescent="0.3">
      <c r="A6" s="17">
        <v>203</v>
      </c>
      <c r="B6">
        <v>42</v>
      </c>
    </row>
    <row r="7" spans="1:2" x14ac:dyDescent="0.3">
      <c r="A7" s="17">
        <v>204</v>
      </c>
      <c r="B7">
        <v>41</v>
      </c>
    </row>
    <row r="8" spans="1:2" x14ac:dyDescent="0.3">
      <c r="A8" s="17">
        <v>205</v>
      </c>
      <c r="B8">
        <v>42</v>
      </c>
    </row>
    <row r="9" spans="1:2" x14ac:dyDescent="0.3">
      <c r="A9" s="17">
        <v>206</v>
      </c>
      <c r="B9">
        <v>41</v>
      </c>
    </row>
    <row r="10" spans="1:2" x14ac:dyDescent="0.3">
      <c r="A10" s="17" t="s">
        <v>911</v>
      </c>
      <c r="B10">
        <v>250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B429-55FC-42C8-AA6D-0556A87F986E}">
  <dimension ref="A3:B7"/>
  <sheetViews>
    <sheetView workbookViewId="0">
      <selection activeCell="B7" sqref="A3:B7"/>
    </sheetView>
  </sheetViews>
  <sheetFormatPr defaultRowHeight="14" x14ac:dyDescent="0.3"/>
  <cols>
    <col min="1" max="1" width="11.75" bestFit="1" customWidth="1"/>
    <col min="2" max="2" width="16.08203125" bestFit="1" customWidth="1"/>
  </cols>
  <sheetData>
    <row r="3" spans="1:2" x14ac:dyDescent="0.3">
      <c r="A3" s="16" t="s">
        <v>910</v>
      </c>
      <c r="B3" t="s">
        <v>908</v>
      </c>
    </row>
    <row r="4" spans="1:2" x14ac:dyDescent="0.3">
      <c r="A4" s="17">
        <v>2</v>
      </c>
      <c r="B4">
        <v>171</v>
      </c>
    </row>
    <row r="5" spans="1:2" x14ac:dyDescent="0.3">
      <c r="A5" s="17">
        <v>3</v>
      </c>
      <c r="B5">
        <v>43</v>
      </c>
    </row>
    <row r="6" spans="1:2" x14ac:dyDescent="0.3">
      <c r="A6" s="17">
        <v>4</v>
      </c>
      <c r="B6">
        <v>36</v>
      </c>
    </row>
    <row r="7" spans="1:2" x14ac:dyDescent="0.3">
      <c r="A7" s="17" t="s">
        <v>911</v>
      </c>
      <c r="B7">
        <v>250</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3E268-60B3-4A6C-9DAE-AE8118F5E71E}">
  <dimension ref="A3:B6"/>
  <sheetViews>
    <sheetView workbookViewId="0">
      <selection activeCell="N10" sqref="N10"/>
    </sheetView>
  </sheetViews>
  <sheetFormatPr defaultRowHeight="14" x14ac:dyDescent="0.3"/>
  <cols>
    <col min="1" max="1" width="11.75" bestFit="1" customWidth="1"/>
    <col min="2" max="2" width="16.75" bestFit="1" customWidth="1"/>
    <col min="3" max="3" width="11.9140625" bestFit="1" customWidth="1"/>
    <col min="4" max="4" width="13.5" bestFit="1" customWidth="1"/>
  </cols>
  <sheetData>
    <row r="3" spans="1:2" x14ac:dyDescent="0.3">
      <c r="A3" s="16" t="s">
        <v>910</v>
      </c>
      <c r="B3" t="s">
        <v>907</v>
      </c>
    </row>
    <row r="4" spans="1:2" x14ac:dyDescent="0.3">
      <c r="A4" s="17" t="s">
        <v>13</v>
      </c>
      <c r="B4" s="15">
        <v>1950594</v>
      </c>
    </row>
    <row r="5" spans="1:2" x14ac:dyDescent="0.3">
      <c r="A5" s="17" t="s">
        <v>18</v>
      </c>
      <c r="B5" s="15">
        <v>885332</v>
      </c>
    </row>
    <row r="6" spans="1:2" x14ac:dyDescent="0.3">
      <c r="A6" s="17" t="s">
        <v>911</v>
      </c>
      <c r="B6" s="15">
        <v>2835926</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DB684-C84D-4777-80A5-AA2E00E9A86A}">
  <dimension ref="A6:B9"/>
  <sheetViews>
    <sheetView topLeftCell="A4" workbookViewId="0">
      <selection activeCell="H2" sqref="H2"/>
    </sheetView>
  </sheetViews>
  <sheetFormatPr defaultRowHeight="14" x14ac:dyDescent="0.3"/>
  <cols>
    <col min="1" max="1" width="11.75" bestFit="1" customWidth="1"/>
    <col min="2" max="2" width="16.75" bestFit="1" customWidth="1"/>
  </cols>
  <sheetData>
    <row r="6" spans="1:2" x14ac:dyDescent="0.3">
      <c r="A6" s="16" t="s">
        <v>910</v>
      </c>
      <c r="B6" t="s">
        <v>907</v>
      </c>
    </row>
    <row r="7" spans="1:2" x14ac:dyDescent="0.3">
      <c r="A7" s="17" t="s">
        <v>13</v>
      </c>
      <c r="B7" s="15">
        <v>1950594</v>
      </c>
    </row>
    <row r="8" spans="1:2" x14ac:dyDescent="0.3">
      <c r="A8" s="17" t="s">
        <v>18</v>
      </c>
      <c r="B8" s="15">
        <v>885332</v>
      </c>
    </row>
    <row r="9" spans="1:2" x14ac:dyDescent="0.3">
      <c r="A9" s="17" t="s">
        <v>911</v>
      </c>
      <c r="B9" s="15">
        <v>2835926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0769F-7E87-4C5E-BCED-92C8CCD95EAE}">
  <dimension ref="A1:Y46"/>
  <sheetViews>
    <sheetView tabSelected="1" zoomScale="43" zoomScaleNormal="98" workbookViewId="0">
      <selection activeCell="F3" sqref="F3"/>
    </sheetView>
  </sheetViews>
  <sheetFormatPr defaultRowHeight="14" x14ac:dyDescent="0.3"/>
  <cols>
    <col min="1" max="1" width="14.4140625" customWidth="1"/>
    <col min="2" max="2" width="23.75" bestFit="1" customWidth="1"/>
    <col min="4" max="4" width="21.58203125" customWidth="1"/>
    <col min="5" max="5" width="8.6640625" customWidth="1"/>
    <col min="6" max="6" width="20.1640625" bestFit="1" customWidth="1"/>
    <col min="8" max="8" width="10.33203125" customWidth="1"/>
    <col min="10" max="10" width="16.5" customWidth="1"/>
    <col min="17" max="17" width="25.83203125" bestFit="1" customWidth="1"/>
  </cols>
  <sheetData>
    <row r="1" spans="1:25" ht="45.5" thickBot="1" x14ac:dyDescent="0.95">
      <c r="A1" s="26" t="s">
        <v>930</v>
      </c>
      <c r="B1" s="27"/>
      <c r="C1" s="27"/>
      <c r="D1" s="27"/>
      <c r="E1" s="27"/>
      <c r="F1" s="27"/>
      <c r="G1" s="27"/>
      <c r="H1" s="27"/>
      <c r="I1" s="27"/>
      <c r="J1" s="27"/>
      <c r="K1" s="27"/>
      <c r="L1" s="27"/>
      <c r="M1" s="27"/>
      <c r="N1" s="27"/>
      <c r="O1" s="27"/>
      <c r="P1" s="27"/>
      <c r="Q1" s="27"/>
      <c r="R1" s="27"/>
      <c r="S1" s="27"/>
      <c r="T1" s="18"/>
      <c r="U1" s="18"/>
      <c r="V1" s="18"/>
      <c r="W1" s="18"/>
      <c r="X1" s="18"/>
      <c r="Y1" s="18"/>
    </row>
    <row r="2" spans="1:25" ht="23.5" thickBot="1" x14ac:dyDescent="0.55000000000000004">
      <c r="A2" s="19"/>
      <c r="B2" s="22" t="s">
        <v>931</v>
      </c>
      <c r="C2" s="20"/>
      <c r="D2" s="21"/>
      <c r="E2" s="21"/>
      <c r="F2" s="24" t="s">
        <v>932</v>
      </c>
      <c r="G2" s="21"/>
      <c r="H2" s="21"/>
      <c r="I2" s="21"/>
      <c r="J2" s="24" t="s">
        <v>933</v>
      </c>
      <c r="K2" s="21"/>
      <c r="L2" s="21"/>
      <c r="M2" s="24" t="s">
        <v>934</v>
      </c>
      <c r="N2" s="21"/>
      <c r="O2" s="21"/>
      <c r="P2" s="21"/>
      <c r="Q2" s="24" t="s">
        <v>935</v>
      </c>
      <c r="R2" s="19"/>
      <c r="S2" s="19"/>
    </row>
    <row r="3" spans="1:25" ht="23.5" thickBot="1" x14ac:dyDescent="0.55000000000000004">
      <c r="A3" s="19"/>
      <c r="B3" s="23">
        <v>2835926</v>
      </c>
      <c r="C3" s="21"/>
      <c r="D3" s="21"/>
      <c r="E3" s="21"/>
      <c r="F3" s="25">
        <v>250</v>
      </c>
      <c r="G3" s="21"/>
      <c r="H3" s="21"/>
      <c r="I3" s="21"/>
      <c r="J3" s="25">
        <v>3.0960000000000001</v>
      </c>
      <c r="K3" s="21"/>
      <c r="L3" s="21"/>
      <c r="M3" s="25">
        <v>250</v>
      </c>
      <c r="N3" s="21"/>
      <c r="O3" s="21"/>
      <c r="P3" s="21"/>
      <c r="Q3" s="25">
        <v>615</v>
      </c>
      <c r="R3" s="19"/>
      <c r="S3" s="19"/>
    </row>
    <row r="4" spans="1:25" x14ac:dyDescent="0.3">
      <c r="A4" s="19"/>
      <c r="B4" s="19"/>
      <c r="C4" s="19"/>
      <c r="D4" s="19"/>
      <c r="E4" s="19"/>
      <c r="F4" s="19"/>
      <c r="G4" s="19"/>
      <c r="H4" s="19"/>
      <c r="I4" s="19"/>
      <c r="J4" s="19"/>
      <c r="K4" s="19"/>
      <c r="L4" s="19"/>
      <c r="M4" s="19"/>
      <c r="N4" s="19"/>
      <c r="O4" s="19"/>
      <c r="P4" s="19"/>
      <c r="Q4" s="19"/>
      <c r="R4" s="19"/>
      <c r="S4" s="19"/>
    </row>
    <row r="5" spans="1:25" x14ac:dyDescent="0.3">
      <c r="A5" s="19"/>
      <c r="B5" s="19"/>
      <c r="C5" s="19"/>
      <c r="D5" s="19"/>
      <c r="E5" s="19"/>
      <c r="F5" s="19"/>
      <c r="G5" s="19"/>
      <c r="H5" s="19"/>
      <c r="I5" s="19"/>
      <c r="J5" s="19"/>
      <c r="K5" s="19"/>
      <c r="L5" s="19"/>
      <c r="M5" s="19"/>
      <c r="N5" s="19"/>
      <c r="O5" s="19"/>
      <c r="P5" s="19"/>
      <c r="Q5" s="19"/>
      <c r="R5" s="19"/>
      <c r="S5" s="19"/>
    </row>
    <row r="6" spans="1:25" x14ac:dyDescent="0.3">
      <c r="A6" s="19"/>
      <c r="B6" s="19"/>
      <c r="C6" s="19"/>
      <c r="D6" s="19"/>
      <c r="E6" s="19"/>
      <c r="F6" s="19"/>
      <c r="G6" s="19"/>
      <c r="H6" s="19"/>
      <c r="I6" s="19"/>
      <c r="J6" s="19"/>
      <c r="K6" s="19"/>
      <c r="L6" s="19"/>
      <c r="M6" s="19"/>
      <c r="N6" s="19"/>
      <c r="O6" s="19"/>
      <c r="P6" s="19"/>
      <c r="Q6" s="19"/>
      <c r="R6" s="19"/>
      <c r="S6" s="19"/>
    </row>
    <row r="7" spans="1:25" x14ac:dyDescent="0.3">
      <c r="A7" s="19"/>
      <c r="B7" s="19"/>
      <c r="C7" s="19"/>
      <c r="D7" s="19"/>
      <c r="E7" s="19"/>
      <c r="F7" s="19"/>
      <c r="G7" s="19"/>
      <c r="H7" s="19"/>
      <c r="I7" s="19"/>
      <c r="J7" s="19"/>
      <c r="K7" s="19"/>
      <c r="L7" s="19"/>
      <c r="M7" s="19"/>
      <c r="N7" s="19"/>
      <c r="O7" s="19"/>
      <c r="P7" s="19"/>
      <c r="Q7" s="19"/>
      <c r="R7" s="19"/>
      <c r="S7" s="19"/>
    </row>
    <row r="8" spans="1:25" x14ac:dyDescent="0.3">
      <c r="A8" s="19"/>
      <c r="B8" s="19"/>
      <c r="C8" s="19"/>
      <c r="D8" s="19"/>
      <c r="E8" s="19"/>
      <c r="F8" s="19"/>
      <c r="G8" s="19"/>
      <c r="H8" s="19"/>
      <c r="I8" s="19"/>
      <c r="J8" s="19"/>
      <c r="K8" s="19"/>
      <c r="L8" s="19"/>
      <c r="M8" s="19"/>
      <c r="N8" s="19"/>
      <c r="O8" s="19"/>
      <c r="P8" s="19"/>
      <c r="Q8" s="19"/>
      <c r="R8" s="19"/>
      <c r="S8" s="19"/>
    </row>
    <row r="9" spans="1:25" x14ac:dyDescent="0.3">
      <c r="A9" s="19"/>
      <c r="B9" s="19"/>
      <c r="C9" s="19"/>
      <c r="D9" s="19"/>
      <c r="E9" s="19"/>
      <c r="F9" s="19"/>
      <c r="G9" s="19"/>
      <c r="H9" s="19"/>
      <c r="I9" s="19"/>
      <c r="J9" s="19"/>
      <c r="K9" s="19"/>
      <c r="L9" s="19"/>
      <c r="M9" s="19"/>
      <c r="N9" s="19"/>
      <c r="O9" s="19"/>
      <c r="P9" s="19"/>
      <c r="Q9" s="19"/>
      <c r="R9" s="19"/>
      <c r="S9" s="19"/>
    </row>
    <row r="10" spans="1:25" x14ac:dyDescent="0.3">
      <c r="A10" s="19"/>
      <c r="B10" s="19"/>
      <c r="C10" s="19"/>
      <c r="D10" s="19"/>
      <c r="E10" s="19"/>
      <c r="F10" s="19"/>
      <c r="G10" s="19"/>
      <c r="H10" s="19"/>
      <c r="I10" s="19"/>
      <c r="J10" s="19"/>
      <c r="K10" s="19"/>
      <c r="L10" s="19"/>
      <c r="M10" s="19"/>
      <c r="N10" s="19"/>
      <c r="O10" s="19"/>
      <c r="P10" s="19"/>
      <c r="Q10" s="19"/>
      <c r="R10" s="19"/>
      <c r="S10" s="19"/>
    </row>
    <row r="11" spans="1:25" x14ac:dyDescent="0.3">
      <c r="A11" s="19"/>
      <c r="B11" s="19"/>
      <c r="C11" s="19"/>
      <c r="D11" s="19"/>
      <c r="E11" s="19"/>
      <c r="F11" s="19"/>
      <c r="G11" s="19"/>
      <c r="H11" s="19"/>
      <c r="I11" s="19"/>
      <c r="J11" s="19"/>
      <c r="K11" s="19"/>
      <c r="L11" s="19"/>
      <c r="M11" s="19"/>
      <c r="N11" s="19"/>
      <c r="O11" s="19"/>
      <c r="P11" s="19"/>
      <c r="Q11" s="19"/>
      <c r="R11" s="19"/>
      <c r="S11" s="19"/>
    </row>
    <row r="12" spans="1:25" x14ac:dyDescent="0.3">
      <c r="A12" s="19"/>
      <c r="B12" s="19"/>
      <c r="C12" s="19"/>
      <c r="D12" s="19"/>
      <c r="E12" s="19"/>
      <c r="F12" s="19"/>
      <c r="G12" s="19"/>
      <c r="H12" s="19"/>
      <c r="I12" s="19"/>
      <c r="J12" s="19"/>
      <c r="K12" s="19"/>
      <c r="L12" s="19"/>
      <c r="M12" s="19"/>
      <c r="N12" s="19"/>
      <c r="O12" s="19"/>
      <c r="P12" s="19"/>
      <c r="Q12" s="19"/>
      <c r="R12" s="19"/>
      <c r="S12" s="19"/>
    </row>
    <row r="13" spans="1:25" x14ac:dyDescent="0.3">
      <c r="A13" s="19"/>
      <c r="B13" s="19"/>
      <c r="C13" s="19"/>
      <c r="D13" s="19"/>
      <c r="E13" s="19"/>
      <c r="F13" s="19"/>
      <c r="G13" s="19"/>
      <c r="H13" s="19"/>
      <c r="I13" s="19"/>
      <c r="J13" s="19"/>
      <c r="K13" s="19"/>
      <c r="L13" s="19"/>
      <c r="M13" s="19"/>
      <c r="N13" s="19"/>
      <c r="O13" s="19"/>
      <c r="P13" s="19"/>
      <c r="Q13" s="19"/>
      <c r="R13" s="19"/>
      <c r="S13" s="19"/>
    </row>
    <row r="14" spans="1:25" x14ac:dyDescent="0.3">
      <c r="A14" s="19"/>
      <c r="B14" s="19"/>
      <c r="C14" s="19"/>
      <c r="D14" s="19"/>
      <c r="E14" s="19"/>
      <c r="F14" s="19"/>
      <c r="G14" s="19"/>
      <c r="H14" s="19"/>
      <c r="I14" s="19"/>
      <c r="J14" s="19"/>
      <c r="K14" s="19"/>
      <c r="L14" s="19"/>
      <c r="M14" s="19"/>
      <c r="N14" s="19"/>
      <c r="O14" s="19"/>
      <c r="P14" s="19"/>
      <c r="Q14" s="19"/>
      <c r="R14" s="19"/>
      <c r="S14" s="19"/>
    </row>
    <row r="15" spans="1:25" x14ac:dyDescent="0.3">
      <c r="A15" s="19"/>
      <c r="B15" s="19"/>
      <c r="C15" s="19"/>
      <c r="D15" s="19"/>
      <c r="E15" s="19"/>
      <c r="F15" s="19"/>
      <c r="G15" s="19"/>
      <c r="H15" s="19"/>
      <c r="I15" s="19"/>
      <c r="J15" s="19"/>
      <c r="K15" s="19"/>
      <c r="L15" s="19"/>
      <c r="M15" s="19"/>
      <c r="N15" s="19"/>
      <c r="O15" s="19"/>
      <c r="P15" s="19"/>
      <c r="Q15" s="19"/>
      <c r="R15" s="19"/>
      <c r="S15" s="19"/>
    </row>
    <row r="16" spans="1:25" x14ac:dyDescent="0.3">
      <c r="A16" s="19"/>
      <c r="B16" s="19"/>
      <c r="C16" s="19"/>
      <c r="D16" s="19"/>
      <c r="E16" s="19"/>
      <c r="F16" s="19"/>
      <c r="G16" s="19"/>
      <c r="H16" s="19"/>
      <c r="I16" s="19"/>
      <c r="J16" s="19"/>
      <c r="K16" s="19"/>
      <c r="L16" s="19"/>
      <c r="M16" s="19"/>
      <c r="N16" s="19"/>
      <c r="O16" s="19"/>
      <c r="P16" s="19"/>
      <c r="Q16" s="19"/>
      <c r="R16" s="19"/>
      <c r="S16" s="19"/>
    </row>
    <row r="17" spans="1:19" x14ac:dyDescent="0.3">
      <c r="A17" s="19"/>
      <c r="B17" s="19"/>
      <c r="C17" s="19"/>
      <c r="D17" s="19"/>
      <c r="E17" s="19"/>
      <c r="F17" s="19"/>
      <c r="G17" s="19"/>
      <c r="H17" s="19"/>
      <c r="I17" s="19"/>
      <c r="J17" s="19"/>
      <c r="K17" s="19"/>
      <c r="L17" s="19"/>
      <c r="M17" s="19"/>
      <c r="N17" s="19"/>
      <c r="O17" s="19"/>
      <c r="P17" s="19"/>
      <c r="Q17" s="19"/>
      <c r="R17" s="19"/>
      <c r="S17" s="19"/>
    </row>
    <row r="18" spans="1:19" x14ac:dyDescent="0.3">
      <c r="A18" s="19"/>
      <c r="B18" s="19"/>
      <c r="C18" s="19"/>
      <c r="D18" s="19"/>
      <c r="E18" s="19"/>
      <c r="F18" s="19"/>
      <c r="G18" s="19"/>
      <c r="H18" s="19"/>
      <c r="I18" s="19"/>
      <c r="J18" s="19"/>
      <c r="K18" s="19"/>
      <c r="L18" s="19"/>
      <c r="M18" s="19"/>
      <c r="N18" s="19"/>
      <c r="O18" s="19"/>
      <c r="P18" s="19"/>
      <c r="Q18" s="19"/>
      <c r="R18" s="19"/>
      <c r="S18" s="19"/>
    </row>
    <row r="19" spans="1:19" x14ac:dyDescent="0.3">
      <c r="A19" s="19"/>
      <c r="B19" s="19"/>
      <c r="C19" s="19"/>
      <c r="D19" s="19"/>
      <c r="E19" s="19"/>
      <c r="F19" s="19"/>
      <c r="G19" s="19"/>
      <c r="H19" s="19"/>
      <c r="I19" s="19"/>
      <c r="J19" s="19"/>
      <c r="K19" s="19"/>
      <c r="L19" s="19"/>
      <c r="M19" s="19"/>
      <c r="N19" s="19"/>
      <c r="O19" s="19"/>
      <c r="P19" s="19"/>
      <c r="Q19" s="19"/>
      <c r="R19" s="19"/>
      <c r="S19" s="19"/>
    </row>
    <row r="20" spans="1:19" x14ac:dyDescent="0.3">
      <c r="A20" s="19"/>
      <c r="B20" s="19"/>
      <c r="C20" s="19"/>
      <c r="D20" s="19"/>
      <c r="E20" s="19"/>
      <c r="F20" s="19"/>
      <c r="G20" s="19"/>
      <c r="H20" s="19"/>
      <c r="I20" s="19"/>
      <c r="J20" s="19"/>
      <c r="K20" s="19"/>
      <c r="L20" s="19"/>
      <c r="M20" s="19"/>
      <c r="N20" s="19"/>
      <c r="O20" s="19"/>
      <c r="P20" s="19"/>
      <c r="Q20" s="19"/>
      <c r="R20" s="19"/>
      <c r="S20" s="19"/>
    </row>
    <row r="21" spans="1:19" x14ac:dyDescent="0.3">
      <c r="A21" s="19"/>
      <c r="B21" s="19"/>
      <c r="C21" s="19"/>
      <c r="D21" s="19"/>
      <c r="E21" s="19"/>
      <c r="F21" s="19"/>
      <c r="G21" s="19"/>
      <c r="H21" s="19"/>
      <c r="I21" s="19"/>
      <c r="J21" s="19"/>
      <c r="K21" s="19"/>
      <c r="L21" s="19"/>
      <c r="M21" s="19"/>
      <c r="N21" s="19"/>
      <c r="O21" s="19"/>
      <c r="P21" s="19"/>
      <c r="Q21" s="19"/>
      <c r="R21" s="19"/>
      <c r="S21" s="19"/>
    </row>
    <row r="22" spans="1:19" x14ac:dyDescent="0.3">
      <c r="A22" s="19"/>
      <c r="B22" s="19"/>
      <c r="C22" s="19"/>
      <c r="D22" s="19"/>
      <c r="E22" s="19"/>
      <c r="F22" s="19"/>
      <c r="G22" s="19"/>
      <c r="H22" s="19"/>
      <c r="I22" s="19"/>
      <c r="J22" s="19"/>
      <c r="K22" s="19"/>
      <c r="L22" s="19"/>
      <c r="M22" s="19"/>
      <c r="N22" s="19"/>
      <c r="O22" s="19"/>
      <c r="P22" s="19"/>
      <c r="Q22" s="19"/>
      <c r="R22" s="19"/>
      <c r="S22" s="19"/>
    </row>
    <row r="23" spans="1:19" x14ac:dyDescent="0.3">
      <c r="A23" s="19"/>
      <c r="B23" s="19"/>
      <c r="C23" s="19"/>
      <c r="D23" s="19"/>
      <c r="E23" s="19"/>
      <c r="F23" s="19"/>
      <c r="G23" s="19"/>
      <c r="H23" s="19"/>
      <c r="I23" s="19"/>
      <c r="J23" s="19"/>
      <c r="K23" s="19"/>
      <c r="L23" s="19"/>
      <c r="M23" s="19"/>
      <c r="N23" s="19"/>
      <c r="O23" s="19"/>
      <c r="P23" s="19"/>
      <c r="Q23" s="19"/>
      <c r="R23" s="19"/>
      <c r="S23" s="19"/>
    </row>
    <row r="24" spans="1:19" x14ac:dyDescent="0.3">
      <c r="A24" s="19"/>
      <c r="B24" s="19"/>
      <c r="C24" s="19"/>
      <c r="D24" s="19"/>
      <c r="E24" s="19"/>
      <c r="F24" s="19"/>
      <c r="G24" s="19"/>
      <c r="H24" s="19"/>
      <c r="I24" s="19"/>
      <c r="J24" s="19"/>
      <c r="K24" s="19"/>
      <c r="L24" s="19"/>
      <c r="M24" s="19"/>
      <c r="N24" s="19"/>
      <c r="O24" s="19"/>
      <c r="P24" s="19"/>
      <c r="Q24" s="19"/>
      <c r="R24" s="19"/>
      <c r="S24" s="19"/>
    </row>
    <row r="25" spans="1:19" x14ac:dyDescent="0.3">
      <c r="A25" s="19"/>
      <c r="B25" s="19"/>
      <c r="C25" s="19"/>
      <c r="D25" s="19"/>
      <c r="E25" s="19"/>
      <c r="F25" s="19"/>
      <c r="G25" s="19"/>
      <c r="H25" s="19"/>
      <c r="I25" s="19"/>
      <c r="J25" s="19"/>
      <c r="K25" s="19"/>
      <c r="L25" s="19"/>
      <c r="M25" s="19"/>
      <c r="N25" s="19"/>
      <c r="O25" s="19"/>
      <c r="P25" s="19"/>
      <c r="Q25" s="19"/>
      <c r="R25" s="19"/>
      <c r="S25" s="19"/>
    </row>
    <row r="26" spans="1:19" x14ac:dyDescent="0.3">
      <c r="A26" s="19"/>
      <c r="B26" s="19"/>
      <c r="C26" s="19"/>
      <c r="D26" s="19"/>
      <c r="E26" s="19"/>
      <c r="F26" s="19"/>
      <c r="G26" s="19"/>
      <c r="H26" s="19"/>
      <c r="I26" s="19"/>
      <c r="J26" s="19"/>
      <c r="K26" s="19"/>
      <c r="L26" s="19"/>
      <c r="M26" s="19"/>
      <c r="N26" s="19"/>
      <c r="O26" s="19"/>
      <c r="P26" s="19"/>
      <c r="Q26" s="19"/>
      <c r="R26" s="19"/>
      <c r="S26" s="19"/>
    </row>
    <row r="27" spans="1:19" x14ac:dyDescent="0.3">
      <c r="A27" s="19"/>
      <c r="B27" s="19"/>
      <c r="C27" s="19"/>
      <c r="D27" s="19"/>
      <c r="E27" s="19"/>
      <c r="F27" s="19"/>
      <c r="G27" s="19"/>
      <c r="H27" s="19"/>
      <c r="I27" s="19"/>
      <c r="J27" s="19"/>
      <c r="K27" s="19"/>
      <c r="L27" s="19"/>
      <c r="M27" s="19"/>
      <c r="N27" s="19"/>
      <c r="O27" s="19"/>
      <c r="P27" s="19"/>
      <c r="Q27" s="19"/>
      <c r="R27" s="19"/>
      <c r="S27" s="19"/>
    </row>
    <row r="28" spans="1:19" x14ac:dyDescent="0.3">
      <c r="A28" s="19"/>
      <c r="B28" s="19"/>
      <c r="C28" s="19"/>
      <c r="D28" s="19"/>
      <c r="E28" s="19"/>
      <c r="F28" s="19"/>
      <c r="G28" s="19"/>
      <c r="H28" s="19"/>
      <c r="I28" s="19"/>
      <c r="J28" s="19"/>
      <c r="K28" s="19"/>
      <c r="L28" s="19"/>
      <c r="M28" s="19"/>
      <c r="N28" s="19"/>
      <c r="O28" s="19"/>
      <c r="P28" s="19"/>
      <c r="Q28" s="19"/>
      <c r="R28" s="19"/>
      <c r="S28" s="19"/>
    </row>
    <row r="29" spans="1:19" x14ac:dyDescent="0.3">
      <c r="A29" s="19"/>
      <c r="B29" s="19"/>
      <c r="C29" s="19"/>
      <c r="D29" s="19"/>
      <c r="E29" s="19"/>
      <c r="F29" s="19"/>
      <c r="G29" s="19"/>
      <c r="H29" s="19"/>
      <c r="I29" s="19"/>
      <c r="J29" s="19"/>
      <c r="K29" s="19"/>
      <c r="L29" s="19"/>
      <c r="M29" s="19"/>
      <c r="N29" s="19"/>
      <c r="O29" s="19"/>
      <c r="P29" s="19"/>
      <c r="Q29" s="19"/>
      <c r="R29" s="19"/>
      <c r="S29" s="19"/>
    </row>
    <row r="30" spans="1:19" x14ac:dyDescent="0.3">
      <c r="A30" s="19"/>
      <c r="B30" s="19"/>
      <c r="C30" s="19"/>
      <c r="D30" s="19"/>
      <c r="E30" s="19"/>
      <c r="F30" s="19"/>
      <c r="G30" s="19"/>
      <c r="H30" s="19"/>
      <c r="I30" s="19"/>
      <c r="J30" s="19"/>
      <c r="K30" s="19"/>
      <c r="L30" s="19"/>
      <c r="M30" s="19"/>
      <c r="N30" s="19"/>
      <c r="O30" s="19"/>
      <c r="P30" s="19"/>
      <c r="Q30" s="19"/>
      <c r="R30" s="19"/>
      <c r="S30" s="19"/>
    </row>
    <row r="31" spans="1:19" x14ac:dyDescent="0.3">
      <c r="A31" s="19"/>
      <c r="B31" s="19"/>
      <c r="C31" s="19"/>
      <c r="D31" s="19"/>
      <c r="E31" s="19"/>
      <c r="F31" s="19"/>
      <c r="G31" s="19"/>
      <c r="H31" s="19"/>
      <c r="I31" s="19"/>
      <c r="J31" s="19"/>
      <c r="K31" s="19"/>
      <c r="L31" s="19"/>
      <c r="M31" s="19"/>
      <c r="N31" s="19"/>
      <c r="O31" s="19"/>
      <c r="P31" s="19"/>
      <c r="Q31" s="19"/>
      <c r="R31" s="19"/>
      <c r="S31" s="19"/>
    </row>
    <row r="32" spans="1:19" x14ac:dyDescent="0.3">
      <c r="A32" s="19"/>
      <c r="B32" s="19"/>
      <c r="C32" s="19"/>
      <c r="D32" s="19"/>
      <c r="E32" s="19"/>
      <c r="F32" s="19"/>
      <c r="G32" s="19"/>
      <c r="H32" s="19"/>
      <c r="I32" s="19"/>
      <c r="J32" s="19"/>
      <c r="K32" s="19"/>
      <c r="L32" s="19"/>
      <c r="M32" s="19"/>
      <c r="N32" s="19"/>
      <c r="O32" s="19"/>
      <c r="P32" s="19"/>
      <c r="Q32" s="19"/>
      <c r="R32" s="19"/>
      <c r="S32" s="19"/>
    </row>
    <row r="33" spans="1:19" x14ac:dyDescent="0.3">
      <c r="A33" s="19"/>
      <c r="B33" s="19"/>
      <c r="C33" s="19"/>
      <c r="D33" s="19"/>
      <c r="E33" s="19"/>
      <c r="F33" s="19"/>
      <c r="G33" s="19"/>
      <c r="H33" s="19"/>
      <c r="I33" s="19"/>
      <c r="J33" s="19"/>
      <c r="K33" s="19"/>
      <c r="L33" s="19"/>
      <c r="M33" s="19"/>
      <c r="N33" s="19"/>
      <c r="O33" s="19"/>
      <c r="P33" s="19"/>
      <c r="Q33" s="19"/>
      <c r="R33" s="19"/>
      <c r="S33" s="19"/>
    </row>
    <row r="34" spans="1:19" x14ac:dyDescent="0.3">
      <c r="A34" s="19"/>
      <c r="B34" s="19"/>
      <c r="C34" s="19"/>
      <c r="D34" s="19"/>
      <c r="E34" s="19"/>
      <c r="F34" s="19"/>
      <c r="G34" s="19"/>
      <c r="H34" s="19"/>
      <c r="I34" s="19"/>
      <c r="J34" s="19"/>
      <c r="K34" s="19"/>
      <c r="L34" s="19"/>
      <c r="M34" s="19"/>
      <c r="N34" s="19"/>
      <c r="O34" s="19"/>
      <c r="P34" s="19"/>
      <c r="Q34" s="19"/>
      <c r="R34" s="19"/>
      <c r="S34" s="19"/>
    </row>
    <row r="35" spans="1:19" x14ac:dyDescent="0.3">
      <c r="A35" s="19"/>
      <c r="B35" s="19"/>
      <c r="C35" s="19"/>
      <c r="D35" s="19"/>
      <c r="E35" s="19"/>
      <c r="F35" s="19"/>
      <c r="G35" s="19"/>
      <c r="H35" s="19"/>
      <c r="I35" s="19"/>
      <c r="J35" s="19"/>
      <c r="K35" s="19"/>
      <c r="L35" s="19"/>
      <c r="M35" s="19"/>
      <c r="N35" s="19"/>
      <c r="O35" s="19"/>
      <c r="P35" s="19"/>
      <c r="Q35" s="19"/>
      <c r="R35" s="19"/>
      <c r="S35" s="19"/>
    </row>
    <row r="36" spans="1:19" x14ac:dyDescent="0.3">
      <c r="A36" s="19"/>
      <c r="B36" s="19"/>
      <c r="C36" s="19"/>
      <c r="D36" s="19"/>
      <c r="E36" s="19"/>
      <c r="F36" s="19"/>
      <c r="G36" s="19"/>
      <c r="H36" s="19"/>
      <c r="I36" s="19"/>
      <c r="J36" s="19"/>
      <c r="K36" s="19"/>
      <c r="L36" s="19"/>
      <c r="M36" s="19"/>
      <c r="N36" s="19"/>
      <c r="O36" s="19"/>
      <c r="P36" s="19"/>
      <c r="Q36" s="19"/>
      <c r="R36" s="19"/>
      <c r="S36" s="19"/>
    </row>
    <row r="37" spans="1:19" x14ac:dyDescent="0.3">
      <c r="A37" s="19"/>
      <c r="B37" s="19"/>
      <c r="C37" s="19"/>
      <c r="D37" s="19"/>
      <c r="E37" s="19"/>
      <c r="F37" s="19"/>
      <c r="G37" s="19"/>
      <c r="H37" s="19"/>
      <c r="I37" s="19"/>
      <c r="J37" s="19"/>
      <c r="K37" s="19"/>
      <c r="L37" s="19"/>
      <c r="M37" s="19"/>
      <c r="N37" s="19"/>
      <c r="O37" s="19"/>
      <c r="P37" s="19"/>
      <c r="Q37" s="19"/>
      <c r="R37" s="19"/>
      <c r="S37" s="19"/>
    </row>
    <row r="38" spans="1:19" x14ac:dyDescent="0.3">
      <c r="A38" s="19"/>
      <c r="B38" s="19"/>
      <c r="C38" s="19"/>
      <c r="D38" s="19"/>
      <c r="E38" s="19"/>
      <c r="F38" s="19"/>
      <c r="G38" s="19"/>
      <c r="H38" s="19"/>
      <c r="I38" s="19"/>
      <c r="J38" s="19"/>
      <c r="K38" s="19"/>
      <c r="L38" s="19"/>
      <c r="M38" s="19"/>
      <c r="N38" s="19"/>
      <c r="O38" s="19"/>
      <c r="P38" s="19"/>
      <c r="Q38" s="19"/>
      <c r="R38" s="19"/>
      <c r="S38" s="19"/>
    </row>
    <row r="39" spans="1:19" x14ac:dyDescent="0.3">
      <c r="A39" s="19"/>
      <c r="B39" s="19"/>
      <c r="C39" s="19"/>
      <c r="D39" s="19"/>
      <c r="E39" s="19"/>
      <c r="F39" s="19"/>
      <c r="G39" s="19"/>
      <c r="H39" s="19"/>
      <c r="I39" s="19"/>
      <c r="J39" s="19"/>
      <c r="K39" s="19"/>
      <c r="L39" s="19"/>
      <c r="M39" s="19"/>
      <c r="N39" s="19"/>
      <c r="O39" s="19"/>
      <c r="P39" s="19"/>
      <c r="Q39" s="19"/>
      <c r="R39" s="19"/>
      <c r="S39" s="19"/>
    </row>
    <row r="40" spans="1:19" x14ac:dyDescent="0.3">
      <c r="A40" s="19"/>
      <c r="B40" s="19"/>
      <c r="C40" s="19"/>
      <c r="D40" s="19"/>
      <c r="E40" s="19"/>
      <c r="F40" s="19"/>
      <c r="G40" s="19"/>
      <c r="H40" s="19"/>
      <c r="I40" s="19"/>
      <c r="J40" s="19"/>
      <c r="K40" s="19"/>
      <c r="L40" s="19"/>
      <c r="M40" s="19"/>
      <c r="N40" s="19"/>
      <c r="O40" s="19"/>
      <c r="P40" s="19"/>
      <c r="Q40" s="19"/>
      <c r="R40" s="19"/>
      <c r="S40" s="19"/>
    </row>
    <row r="41" spans="1:19" x14ac:dyDescent="0.3">
      <c r="A41" s="19"/>
      <c r="B41" s="19"/>
      <c r="C41" s="19"/>
      <c r="D41" s="19"/>
      <c r="E41" s="19"/>
      <c r="F41" s="19"/>
      <c r="G41" s="19"/>
      <c r="H41" s="19"/>
      <c r="I41" s="19"/>
      <c r="J41" s="19"/>
      <c r="K41" s="19"/>
      <c r="L41" s="19"/>
      <c r="M41" s="19"/>
      <c r="N41" s="19"/>
      <c r="O41" s="19"/>
      <c r="P41" s="19"/>
      <c r="Q41" s="19"/>
      <c r="R41" s="19"/>
      <c r="S41" s="19"/>
    </row>
    <row r="42" spans="1:19" x14ac:dyDescent="0.3">
      <c r="A42" s="19"/>
      <c r="B42" s="19"/>
      <c r="C42" s="19"/>
      <c r="D42" s="19"/>
      <c r="E42" s="19"/>
      <c r="F42" s="19"/>
      <c r="G42" s="19"/>
      <c r="H42" s="19"/>
      <c r="I42" s="19"/>
      <c r="J42" s="19"/>
      <c r="K42" s="19"/>
      <c r="L42" s="19"/>
      <c r="M42" s="19"/>
      <c r="N42" s="19"/>
      <c r="O42" s="19"/>
      <c r="P42" s="19"/>
      <c r="Q42" s="19"/>
      <c r="R42" s="19"/>
      <c r="S42" s="19"/>
    </row>
    <row r="43" spans="1:19" x14ac:dyDescent="0.3">
      <c r="A43" s="19"/>
      <c r="B43" s="19"/>
      <c r="C43" s="19"/>
      <c r="D43" s="19"/>
      <c r="E43" s="19"/>
      <c r="F43" s="19"/>
      <c r="G43" s="19"/>
      <c r="H43" s="19"/>
      <c r="I43" s="19"/>
      <c r="J43" s="19"/>
      <c r="K43" s="19"/>
      <c r="L43" s="19"/>
      <c r="M43" s="19"/>
      <c r="N43" s="19"/>
      <c r="O43" s="19"/>
      <c r="P43" s="19"/>
      <c r="Q43" s="19"/>
      <c r="R43" s="19"/>
      <c r="S43" s="19"/>
    </row>
    <row r="44" spans="1:19" x14ac:dyDescent="0.3">
      <c r="A44" s="19"/>
      <c r="B44" s="19"/>
      <c r="C44" s="19"/>
      <c r="D44" s="19"/>
      <c r="E44" s="19"/>
      <c r="F44" s="19"/>
      <c r="G44" s="19"/>
      <c r="H44" s="19"/>
      <c r="I44" s="19"/>
      <c r="J44" s="19"/>
      <c r="K44" s="19"/>
      <c r="L44" s="19"/>
      <c r="M44" s="19"/>
      <c r="N44" s="19"/>
      <c r="O44" s="19"/>
      <c r="P44" s="19"/>
      <c r="Q44" s="19"/>
      <c r="R44" s="19"/>
      <c r="S44" s="19"/>
    </row>
    <row r="45" spans="1:19" x14ac:dyDescent="0.3">
      <c r="A45" s="19"/>
      <c r="B45" s="19"/>
      <c r="C45" s="19"/>
      <c r="D45" s="19"/>
      <c r="E45" s="19"/>
      <c r="F45" s="19"/>
      <c r="G45" s="19"/>
      <c r="H45" s="19"/>
      <c r="I45" s="19"/>
      <c r="J45" s="19"/>
      <c r="K45" s="19"/>
      <c r="L45" s="19"/>
      <c r="M45" s="19"/>
      <c r="N45" s="19"/>
      <c r="O45" s="19"/>
      <c r="P45" s="19"/>
      <c r="Q45" s="19"/>
      <c r="R45" s="19"/>
      <c r="S45" s="19"/>
    </row>
    <row r="46" spans="1:19" x14ac:dyDescent="0.3">
      <c r="A46" s="19"/>
      <c r="B46" s="19"/>
      <c r="C46" s="19"/>
      <c r="D46" s="19"/>
      <c r="E46" s="19"/>
      <c r="F46" s="19"/>
      <c r="G46" s="19"/>
      <c r="H46" s="19"/>
      <c r="I46" s="19"/>
      <c r="J46" s="19"/>
      <c r="K46" s="19"/>
      <c r="L46" s="19"/>
      <c r="M46" s="19"/>
      <c r="N46" s="19"/>
      <c r="O46" s="19"/>
      <c r="P46" s="19"/>
      <c r="Q46" s="19"/>
      <c r="R46" s="19"/>
      <c r="S46" s="19"/>
    </row>
  </sheetData>
  <mergeCells count="1">
    <mergeCell ref="A1:S1"/>
  </mergeCells>
  <pageMargins left="0.25" right="0.25" top="0.75" bottom="0.75" header="0.3" footer="0.3"/>
  <pageSetup orientation="landscape" r:id="rId6"/>
  <drawing r:id="rId7"/>
  <extLst>
    <ext xmlns:x14="http://schemas.microsoft.com/office/spreadsheetml/2009/9/main" uri="{A8765BA9-456A-4dab-B4F3-ACF838C121DE}">
      <x14:slicerList>
        <x14:slicer r:id="rId8"/>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D515C-FF03-47FA-A66B-60F1EAC984C4}">
  <dimension ref="A1:N251"/>
  <sheetViews>
    <sheetView topLeftCell="A246" workbookViewId="0">
      <selection activeCell="G266" sqref="G266"/>
    </sheetView>
  </sheetViews>
  <sheetFormatPr defaultRowHeight="14" x14ac:dyDescent="0.3"/>
  <cols>
    <col min="1" max="1" width="11.58203125" customWidth="1"/>
    <col min="2" max="2" width="10.33203125" customWidth="1"/>
    <col min="3" max="3" width="13.4140625" customWidth="1"/>
    <col min="4" max="4" width="9.6640625" customWidth="1"/>
    <col min="5" max="5" width="11.25" customWidth="1"/>
    <col min="6" max="6" width="8.75" customWidth="1"/>
    <col min="7" max="7" width="10.75" customWidth="1"/>
    <col min="8" max="8" width="14.1640625" customWidth="1"/>
    <col min="9" max="9" width="15.83203125" customWidth="1"/>
    <col min="10" max="10" width="14.5" customWidth="1"/>
    <col min="11" max="11" width="6.75" customWidth="1"/>
    <col min="12" max="12" width="8.75" customWidth="1"/>
    <col min="13" max="13" width="16.1640625" customWidth="1"/>
    <col min="14" max="14" width="9.6640625" customWidth="1"/>
  </cols>
  <sheetData>
    <row r="1" spans="1:14" x14ac:dyDescent="0.3">
      <c r="A1" t="s">
        <v>0</v>
      </c>
      <c r="B1" t="s">
        <v>1</v>
      </c>
      <c r="C1" t="s">
        <v>2</v>
      </c>
      <c r="D1" t="s">
        <v>3</v>
      </c>
      <c r="E1" t="s">
        <v>4</v>
      </c>
      <c r="F1" t="s">
        <v>5</v>
      </c>
      <c r="G1" t="s">
        <v>6</v>
      </c>
      <c r="H1" t="s">
        <v>7</v>
      </c>
      <c r="I1" t="s">
        <v>8</v>
      </c>
      <c r="J1" t="s">
        <v>902</v>
      </c>
      <c r="K1" t="s">
        <v>903</v>
      </c>
      <c r="L1" t="s">
        <v>904</v>
      </c>
      <c r="M1" t="s">
        <v>905</v>
      </c>
      <c r="N1" t="s">
        <v>906</v>
      </c>
    </row>
    <row r="2" spans="1:14" x14ac:dyDescent="0.3">
      <c r="A2" s="1" t="s">
        <v>9</v>
      </c>
      <c r="B2" s="2">
        <v>201</v>
      </c>
      <c r="C2" s="2" t="s">
        <v>10</v>
      </c>
      <c r="D2" s="3" t="s">
        <v>11</v>
      </c>
      <c r="E2" s="3" t="s">
        <v>12</v>
      </c>
      <c r="F2" s="2">
        <v>2</v>
      </c>
      <c r="G2" s="2">
        <v>9876543210</v>
      </c>
      <c r="H2" s="2">
        <v>8697</v>
      </c>
      <c r="I2" s="4" t="s">
        <v>13</v>
      </c>
      <c r="J2" s="13">
        <f>tblBookings[[#This Row],[CheckOut]]-tblBookings[[#This Row],[CheckIn]]</f>
        <v>3</v>
      </c>
      <c r="K2" s="13">
        <f>YEAR(tblBookings[[#This Row],[CheckIn]])</f>
        <v>2026</v>
      </c>
      <c r="L2" s="14" t="str">
        <f>TEXT(tblBookings[[#This Row],[CheckIn]],"MMM")</f>
        <v>Jan</v>
      </c>
      <c r="M2" s="14">
        <f>MONTH(tblBookings[[#This Row],[CheckIn]])</f>
        <v>1</v>
      </c>
      <c r="N2" s="14" t="str">
        <f>"Q"&amp;ROUNDUP(MONTH(tblBookings[[#This Row],[CheckIn]])/3,0)</f>
        <v>Q1</v>
      </c>
    </row>
    <row r="3" spans="1:14" x14ac:dyDescent="0.3">
      <c r="A3" s="5" t="s">
        <v>14</v>
      </c>
      <c r="B3" s="6">
        <v>203</v>
      </c>
      <c r="C3" s="6" t="s">
        <v>15</v>
      </c>
      <c r="D3" s="7" t="s">
        <v>16</v>
      </c>
      <c r="E3" s="7" t="s">
        <v>17</v>
      </c>
      <c r="F3" s="6">
        <v>4</v>
      </c>
      <c r="G3" s="6">
        <v>9123456789</v>
      </c>
      <c r="H3" s="6">
        <v>11097</v>
      </c>
      <c r="I3" s="8" t="s">
        <v>18</v>
      </c>
      <c r="J3" s="6">
        <f>tblBookings[[#This Row],[CheckOut]]-tblBookings[[#This Row],[CheckIn]]</f>
        <v>3</v>
      </c>
      <c r="K3" s="6">
        <f>YEAR(tblBookings[[#This Row],[CheckIn]])</f>
        <v>2026</v>
      </c>
      <c r="L3" s="14" t="str">
        <f>TEXT(tblBookings[[#This Row],[CheckIn]],"MMM")</f>
        <v>Jan</v>
      </c>
      <c r="M3" s="14">
        <f>MONTH(tblBookings[[#This Row],[CheckIn]])</f>
        <v>1</v>
      </c>
      <c r="N3" s="14" t="str">
        <f>"Q"&amp;ROUNDUP(MONTH(tblBookings[[#This Row],[CheckIn]])/3,0)</f>
        <v>Q1</v>
      </c>
    </row>
    <row r="4" spans="1:14" x14ac:dyDescent="0.3">
      <c r="A4" s="1" t="s">
        <v>19</v>
      </c>
      <c r="B4" s="2">
        <v>205</v>
      </c>
      <c r="C4" s="2" t="s">
        <v>20</v>
      </c>
      <c r="D4" s="3" t="s">
        <v>21</v>
      </c>
      <c r="E4" s="3" t="s">
        <v>22</v>
      </c>
      <c r="F4" s="2">
        <v>2</v>
      </c>
      <c r="G4" s="2">
        <v>9345678901</v>
      </c>
      <c r="H4" s="2">
        <v>4398</v>
      </c>
      <c r="I4" s="4" t="s">
        <v>13</v>
      </c>
      <c r="J4" s="6">
        <f>tblBookings[[#This Row],[CheckOut]]-tblBookings[[#This Row],[CheckIn]]</f>
        <v>2</v>
      </c>
      <c r="K4" s="6">
        <f>YEAR(tblBookings[[#This Row],[CheckIn]])</f>
        <v>2026</v>
      </c>
      <c r="L4" s="14" t="str">
        <f>TEXT(tblBookings[[#This Row],[CheckIn]],"MMM")</f>
        <v>Jan</v>
      </c>
      <c r="M4" s="14">
        <f>MONTH(tblBookings[[#This Row],[CheckIn]])</f>
        <v>1</v>
      </c>
      <c r="N4" s="14" t="str">
        <f>"Q"&amp;ROUNDUP(MONTH(tblBookings[[#This Row],[CheckIn]])/3,0)</f>
        <v>Q1</v>
      </c>
    </row>
    <row r="5" spans="1:14" x14ac:dyDescent="0.3">
      <c r="A5" s="5" t="s">
        <v>23</v>
      </c>
      <c r="B5" s="6">
        <v>204</v>
      </c>
      <c r="C5" s="6" t="s">
        <v>24</v>
      </c>
      <c r="D5" s="7" t="s">
        <v>25</v>
      </c>
      <c r="E5" s="7" t="s">
        <v>26</v>
      </c>
      <c r="F5" s="6">
        <v>2</v>
      </c>
      <c r="G5" s="6">
        <v>9456789012</v>
      </c>
      <c r="H5" s="6">
        <v>16796</v>
      </c>
      <c r="I5" s="8" t="s">
        <v>13</v>
      </c>
      <c r="J5" s="6">
        <f>tblBookings[[#This Row],[CheckOut]]-tblBookings[[#This Row],[CheckIn]]</f>
        <v>4</v>
      </c>
      <c r="K5" s="6">
        <f>YEAR(tblBookings[[#This Row],[CheckIn]])</f>
        <v>2026</v>
      </c>
      <c r="L5" s="14" t="str">
        <f>TEXT(tblBookings[[#This Row],[CheckIn]],"MMM")</f>
        <v>Jan</v>
      </c>
      <c r="M5" s="14">
        <f>MONTH(tblBookings[[#This Row],[CheckIn]])</f>
        <v>1</v>
      </c>
      <c r="N5" s="14" t="str">
        <f>"Q"&amp;ROUNDUP(MONTH(tblBookings[[#This Row],[CheckIn]])/3,0)</f>
        <v>Q1</v>
      </c>
    </row>
    <row r="6" spans="1:14" x14ac:dyDescent="0.3">
      <c r="A6" s="1" t="s">
        <v>27</v>
      </c>
      <c r="B6" s="2">
        <v>202</v>
      </c>
      <c r="C6" s="2" t="s">
        <v>28</v>
      </c>
      <c r="D6" s="3" t="s">
        <v>29</v>
      </c>
      <c r="E6" s="3" t="s">
        <v>30</v>
      </c>
      <c r="F6" s="2">
        <v>2</v>
      </c>
      <c r="G6" s="2">
        <v>9567890123</v>
      </c>
      <c r="H6" s="2">
        <v>7497</v>
      </c>
      <c r="I6" s="4" t="s">
        <v>18</v>
      </c>
      <c r="J6" s="6">
        <f>tblBookings[[#This Row],[CheckOut]]-tblBookings[[#This Row],[CheckIn]]</f>
        <v>3</v>
      </c>
      <c r="K6" s="6">
        <f>YEAR(tblBookings[[#This Row],[CheckIn]])</f>
        <v>2026</v>
      </c>
      <c r="L6" s="14" t="str">
        <f>TEXT(tblBookings[[#This Row],[CheckIn]],"MMM")</f>
        <v>Jan</v>
      </c>
      <c r="M6" s="14">
        <f>MONTH(tblBookings[[#This Row],[CheckIn]])</f>
        <v>1</v>
      </c>
      <c r="N6" s="14" t="str">
        <f>"Q"&amp;ROUNDUP(MONTH(tblBookings[[#This Row],[CheckIn]])/3,0)</f>
        <v>Q1</v>
      </c>
    </row>
    <row r="7" spans="1:14" x14ac:dyDescent="0.3">
      <c r="A7" s="5" t="s">
        <v>31</v>
      </c>
      <c r="B7" s="6">
        <v>206</v>
      </c>
      <c r="C7" s="6" t="s">
        <v>32</v>
      </c>
      <c r="D7" s="7" t="s">
        <v>33</v>
      </c>
      <c r="E7" s="7" t="s">
        <v>34</v>
      </c>
      <c r="F7" s="6">
        <v>3</v>
      </c>
      <c r="G7" s="6">
        <v>9678901234</v>
      </c>
      <c r="H7" s="6">
        <v>17997</v>
      </c>
      <c r="I7" s="8" t="s">
        <v>13</v>
      </c>
      <c r="J7" s="6">
        <f>tblBookings[[#This Row],[CheckOut]]-tblBookings[[#This Row],[CheckIn]]</f>
        <v>3</v>
      </c>
      <c r="K7" s="6">
        <f>YEAR(tblBookings[[#This Row],[CheckIn]])</f>
        <v>2026</v>
      </c>
      <c r="L7" s="14" t="str">
        <f>TEXT(tblBookings[[#This Row],[CheckIn]],"MMM")</f>
        <v>Feb</v>
      </c>
      <c r="M7" s="14">
        <f>MONTH(tblBookings[[#This Row],[CheckIn]])</f>
        <v>2</v>
      </c>
      <c r="N7" s="14" t="str">
        <f>"Q"&amp;ROUNDUP(MONTH(tblBookings[[#This Row],[CheckIn]])/3,0)</f>
        <v>Q1</v>
      </c>
    </row>
    <row r="8" spans="1:14" x14ac:dyDescent="0.3">
      <c r="A8" s="1" t="s">
        <v>35</v>
      </c>
      <c r="B8" s="2">
        <v>201</v>
      </c>
      <c r="C8" s="2" t="s">
        <v>36</v>
      </c>
      <c r="D8" s="3" t="s">
        <v>37</v>
      </c>
      <c r="E8" s="3" t="s">
        <v>38</v>
      </c>
      <c r="F8" s="2">
        <v>2</v>
      </c>
      <c r="G8" s="2">
        <v>9789012345</v>
      </c>
      <c r="H8" s="2">
        <v>5798</v>
      </c>
      <c r="I8" s="4" t="s">
        <v>18</v>
      </c>
      <c r="J8" s="6">
        <f>tblBookings[[#This Row],[CheckOut]]-tblBookings[[#This Row],[CheckIn]]</f>
        <v>2</v>
      </c>
      <c r="K8" s="6">
        <f>YEAR(tblBookings[[#This Row],[CheckIn]])</f>
        <v>2026</v>
      </c>
      <c r="L8" s="14" t="str">
        <f>TEXT(tblBookings[[#This Row],[CheckIn]],"MMM")</f>
        <v>Feb</v>
      </c>
      <c r="M8" s="14">
        <f>MONTH(tblBookings[[#This Row],[CheckIn]])</f>
        <v>2</v>
      </c>
      <c r="N8" s="14" t="str">
        <f>"Q"&amp;ROUNDUP(MONTH(tblBookings[[#This Row],[CheckIn]])/3,0)</f>
        <v>Q1</v>
      </c>
    </row>
    <row r="9" spans="1:14" x14ac:dyDescent="0.3">
      <c r="A9" s="5" t="s">
        <v>39</v>
      </c>
      <c r="B9" s="6">
        <v>203</v>
      </c>
      <c r="C9" s="6" t="s">
        <v>40</v>
      </c>
      <c r="D9" s="7" t="s">
        <v>41</v>
      </c>
      <c r="E9" s="7" t="s">
        <v>42</v>
      </c>
      <c r="F9" s="6">
        <v>4</v>
      </c>
      <c r="G9" s="6">
        <v>9890123456</v>
      </c>
      <c r="H9" s="6">
        <v>14796</v>
      </c>
      <c r="I9" s="8" t="s">
        <v>13</v>
      </c>
      <c r="J9" s="6">
        <f>tblBookings[[#This Row],[CheckOut]]-tblBookings[[#This Row],[CheckIn]]</f>
        <v>4</v>
      </c>
      <c r="K9" s="6">
        <f>YEAR(tblBookings[[#This Row],[CheckIn]])</f>
        <v>2026</v>
      </c>
      <c r="L9" s="14" t="str">
        <f>TEXT(tblBookings[[#This Row],[CheckIn]],"MMM")</f>
        <v>Feb</v>
      </c>
      <c r="M9" s="14">
        <f>MONTH(tblBookings[[#This Row],[CheckIn]])</f>
        <v>2</v>
      </c>
      <c r="N9" s="14" t="str">
        <f>"Q"&amp;ROUNDUP(MONTH(tblBookings[[#This Row],[CheckIn]])/3,0)</f>
        <v>Q1</v>
      </c>
    </row>
    <row r="10" spans="1:14" x14ac:dyDescent="0.3">
      <c r="A10" s="1" t="s">
        <v>43</v>
      </c>
      <c r="B10" s="2">
        <v>205</v>
      </c>
      <c r="C10" s="2" t="s">
        <v>44</v>
      </c>
      <c r="D10" s="3" t="s">
        <v>45</v>
      </c>
      <c r="E10" s="3" t="s">
        <v>46</v>
      </c>
      <c r="F10" s="2">
        <v>2</v>
      </c>
      <c r="G10" s="2">
        <v>9901234567</v>
      </c>
      <c r="H10" s="2">
        <v>6597</v>
      </c>
      <c r="I10" s="4" t="s">
        <v>13</v>
      </c>
      <c r="J10" s="6">
        <f>tblBookings[[#This Row],[CheckOut]]-tblBookings[[#This Row],[CheckIn]]</f>
        <v>3</v>
      </c>
      <c r="K10" s="6">
        <f>YEAR(tblBookings[[#This Row],[CheckIn]])</f>
        <v>2026</v>
      </c>
      <c r="L10" s="14" t="str">
        <f>TEXT(tblBookings[[#This Row],[CheckIn]],"MMM")</f>
        <v>Feb</v>
      </c>
      <c r="M10" s="14">
        <f>MONTH(tblBookings[[#This Row],[CheckIn]])</f>
        <v>2</v>
      </c>
      <c r="N10" s="14" t="str">
        <f>"Q"&amp;ROUNDUP(MONTH(tblBookings[[#This Row],[CheckIn]])/3,0)</f>
        <v>Q1</v>
      </c>
    </row>
    <row r="11" spans="1:14" x14ac:dyDescent="0.3">
      <c r="A11" s="5" t="s">
        <v>47</v>
      </c>
      <c r="B11" s="6">
        <v>204</v>
      </c>
      <c r="C11" s="6" t="s">
        <v>48</v>
      </c>
      <c r="D11" s="7" t="s">
        <v>49</v>
      </c>
      <c r="E11" s="7" t="s">
        <v>50</v>
      </c>
      <c r="F11" s="6">
        <v>2</v>
      </c>
      <c r="G11" s="6">
        <v>9012345678</v>
      </c>
      <c r="H11" s="6">
        <v>8398</v>
      </c>
      <c r="I11" s="8" t="s">
        <v>18</v>
      </c>
      <c r="J11" s="6">
        <f>tblBookings[[#This Row],[CheckOut]]-tblBookings[[#This Row],[CheckIn]]</f>
        <v>2</v>
      </c>
      <c r="K11" s="6">
        <f>YEAR(tblBookings[[#This Row],[CheckIn]])</f>
        <v>2026</v>
      </c>
      <c r="L11" s="14" t="str">
        <f>TEXT(tblBookings[[#This Row],[CheckIn]],"MMM")</f>
        <v>Feb</v>
      </c>
      <c r="M11" s="14">
        <f>MONTH(tblBookings[[#This Row],[CheckIn]])</f>
        <v>2</v>
      </c>
      <c r="N11" s="14" t="str">
        <f>"Q"&amp;ROUNDUP(MONTH(tblBookings[[#This Row],[CheckIn]])/3,0)</f>
        <v>Q1</v>
      </c>
    </row>
    <row r="12" spans="1:14" x14ac:dyDescent="0.3">
      <c r="A12" s="1" t="s">
        <v>51</v>
      </c>
      <c r="B12" s="2">
        <v>202</v>
      </c>
      <c r="C12" s="2" t="s">
        <v>52</v>
      </c>
      <c r="D12" s="3" t="s">
        <v>53</v>
      </c>
      <c r="E12" s="3" t="s">
        <v>54</v>
      </c>
      <c r="F12" s="2">
        <v>2</v>
      </c>
      <c r="G12" s="2">
        <v>9123456701</v>
      </c>
      <c r="H12" s="2">
        <v>7497</v>
      </c>
      <c r="I12" s="4" t="s">
        <v>13</v>
      </c>
      <c r="J12" s="6">
        <f>tblBookings[[#This Row],[CheckOut]]-tblBookings[[#This Row],[CheckIn]]</f>
        <v>3</v>
      </c>
      <c r="K12" s="6">
        <f>YEAR(tblBookings[[#This Row],[CheckIn]])</f>
        <v>2026</v>
      </c>
      <c r="L12" s="14" t="str">
        <f>TEXT(tblBookings[[#This Row],[CheckIn]],"MMM")</f>
        <v>Mar</v>
      </c>
      <c r="M12" s="14">
        <f>MONTH(tblBookings[[#This Row],[CheckIn]])</f>
        <v>3</v>
      </c>
      <c r="N12" s="14" t="str">
        <f>"Q"&amp;ROUNDUP(MONTH(tblBookings[[#This Row],[CheckIn]])/3,0)</f>
        <v>Q1</v>
      </c>
    </row>
    <row r="13" spans="1:14" x14ac:dyDescent="0.3">
      <c r="A13" s="5" t="s">
        <v>55</v>
      </c>
      <c r="B13" s="6">
        <v>201</v>
      </c>
      <c r="C13" s="6" t="s">
        <v>56</v>
      </c>
      <c r="D13" s="7" t="s">
        <v>57</v>
      </c>
      <c r="E13" s="7" t="s">
        <v>58</v>
      </c>
      <c r="F13" s="6">
        <v>2</v>
      </c>
      <c r="G13" s="6">
        <v>9234567012</v>
      </c>
      <c r="H13" s="6">
        <v>11596</v>
      </c>
      <c r="I13" s="8" t="s">
        <v>18</v>
      </c>
      <c r="J13" s="6">
        <f>tblBookings[[#This Row],[CheckOut]]-tblBookings[[#This Row],[CheckIn]]</f>
        <v>4</v>
      </c>
      <c r="K13" s="6">
        <f>YEAR(tblBookings[[#This Row],[CheckIn]])</f>
        <v>2026</v>
      </c>
      <c r="L13" s="14" t="str">
        <f>TEXT(tblBookings[[#This Row],[CheckIn]],"MMM")</f>
        <v>Mar</v>
      </c>
      <c r="M13" s="14">
        <f>MONTH(tblBookings[[#This Row],[CheckIn]])</f>
        <v>3</v>
      </c>
      <c r="N13" s="14" t="str">
        <f>"Q"&amp;ROUNDUP(MONTH(tblBookings[[#This Row],[CheckIn]])/3,0)</f>
        <v>Q1</v>
      </c>
    </row>
    <row r="14" spans="1:14" x14ac:dyDescent="0.3">
      <c r="A14" s="1" t="s">
        <v>59</v>
      </c>
      <c r="B14" s="2">
        <v>206</v>
      </c>
      <c r="C14" s="2" t="s">
        <v>60</v>
      </c>
      <c r="D14" s="3" t="s">
        <v>61</v>
      </c>
      <c r="E14" s="3" t="s">
        <v>62</v>
      </c>
      <c r="F14" s="2">
        <v>2</v>
      </c>
      <c r="G14" s="2">
        <v>9345670123</v>
      </c>
      <c r="H14" s="2">
        <v>11998</v>
      </c>
      <c r="I14" s="4" t="s">
        <v>13</v>
      </c>
      <c r="J14" s="6">
        <f>tblBookings[[#This Row],[CheckOut]]-tblBookings[[#This Row],[CheckIn]]</f>
        <v>2</v>
      </c>
      <c r="K14" s="6">
        <f>YEAR(tblBookings[[#This Row],[CheckIn]])</f>
        <v>2026</v>
      </c>
      <c r="L14" s="14" t="str">
        <f>TEXT(tblBookings[[#This Row],[CheckIn]],"MMM")</f>
        <v>Mar</v>
      </c>
      <c r="M14" s="14">
        <f>MONTH(tblBookings[[#This Row],[CheckIn]])</f>
        <v>3</v>
      </c>
      <c r="N14" s="14" t="str">
        <f>"Q"&amp;ROUNDUP(MONTH(tblBookings[[#This Row],[CheckIn]])/3,0)</f>
        <v>Q1</v>
      </c>
    </row>
    <row r="15" spans="1:14" x14ac:dyDescent="0.3">
      <c r="A15" s="5" t="s">
        <v>63</v>
      </c>
      <c r="B15" s="6">
        <v>205</v>
      </c>
      <c r="C15" s="6" t="s">
        <v>64</v>
      </c>
      <c r="D15" s="7" t="s">
        <v>65</v>
      </c>
      <c r="E15" s="7" t="s">
        <v>66</v>
      </c>
      <c r="F15" s="6">
        <v>2</v>
      </c>
      <c r="G15" s="6">
        <v>9456701234</v>
      </c>
      <c r="H15" s="6">
        <v>6597</v>
      </c>
      <c r="I15" s="8" t="s">
        <v>18</v>
      </c>
      <c r="J15" s="6">
        <f>tblBookings[[#This Row],[CheckOut]]-tblBookings[[#This Row],[CheckIn]]</f>
        <v>3</v>
      </c>
      <c r="K15" s="6">
        <f>YEAR(tblBookings[[#This Row],[CheckIn]])</f>
        <v>2026</v>
      </c>
      <c r="L15" s="14" t="str">
        <f>TEXT(tblBookings[[#This Row],[CheckIn]],"MMM")</f>
        <v>Mar</v>
      </c>
      <c r="M15" s="14">
        <f>MONTH(tblBookings[[#This Row],[CheckIn]])</f>
        <v>3</v>
      </c>
      <c r="N15" s="14" t="str">
        <f>"Q"&amp;ROUNDUP(MONTH(tblBookings[[#This Row],[CheckIn]])/3,0)</f>
        <v>Q1</v>
      </c>
    </row>
    <row r="16" spans="1:14" x14ac:dyDescent="0.3">
      <c r="A16" s="1" t="s">
        <v>67</v>
      </c>
      <c r="B16" s="2">
        <v>203</v>
      </c>
      <c r="C16" s="2" t="s">
        <v>68</v>
      </c>
      <c r="D16" s="3" t="s">
        <v>69</v>
      </c>
      <c r="E16" s="3" t="s">
        <v>70</v>
      </c>
      <c r="F16" s="2">
        <v>4</v>
      </c>
      <c r="G16" s="2">
        <v>9567012345</v>
      </c>
      <c r="H16" s="2">
        <v>11097</v>
      </c>
      <c r="I16" s="4" t="s">
        <v>13</v>
      </c>
      <c r="J16" s="6">
        <f>tblBookings[[#This Row],[CheckOut]]-tblBookings[[#This Row],[CheckIn]]</f>
        <v>3</v>
      </c>
      <c r="K16" s="6">
        <f>YEAR(tblBookings[[#This Row],[CheckIn]])</f>
        <v>2026</v>
      </c>
      <c r="L16" s="14" t="str">
        <f>TEXT(tblBookings[[#This Row],[CheckIn]],"MMM")</f>
        <v>Mar</v>
      </c>
      <c r="M16" s="14">
        <f>MONTH(tblBookings[[#This Row],[CheckIn]])</f>
        <v>3</v>
      </c>
      <c r="N16" s="14" t="str">
        <f>"Q"&amp;ROUNDUP(MONTH(tblBookings[[#This Row],[CheckIn]])/3,0)</f>
        <v>Q1</v>
      </c>
    </row>
    <row r="17" spans="1:14" x14ac:dyDescent="0.3">
      <c r="A17" s="5" t="s">
        <v>71</v>
      </c>
      <c r="B17" s="6">
        <v>204</v>
      </c>
      <c r="C17" s="6" t="s">
        <v>72</v>
      </c>
      <c r="D17" s="7" t="s">
        <v>73</v>
      </c>
      <c r="E17" s="7" t="s">
        <v>74</v>
      </c>
      <c r="F17" s="6">
        <v>2</v>
      </c>
      <c r="G17" s="6">
        <v>9670123456</v>
      </c>
      <c r="H17" s="6">
        <v>16796</v>
      </c>
      <c r="I17" s="8" t="s">
        <v>13</v>
      </c>
      <c r="J17" s="6">
        <f>tblBookings[[#This Row],[CheckOut]]-tblBookings[[#This Row],[CheckIn]]</f>
        <v>4</v>
      </c>
      <c r="K17" s="6">
        <f>YEAR(tblBookings[[#This Row],[CheckIn]])</f>
        <v>2026</v>
      </c>
      <c r="L17" s="14" t="str">
        <f>TEXT(tblBookings[[#This Row],[CheckIn]],"MMM")</f>
        <v>Mar</v>
      </c>
      <c r="M17" s="14">
        <f>MONTH(tblBookings[[#This Row],[CheckIn]])</f>
        <v>3</v>
      </c>
      <c r="N17" s="14" t="str">
        <f>"Q"&amp;ROUNDUP(MONTH(tblBookings[[#This Row],[CheckIn]])/3,0)</f>
        <v>Q1</v>
      </c>
    </row>
    <row r="18" spans="1:14" x14ac:dyDescent="0.3">
      <c r="A18" s="1" t="s">
        <v>75</v>
      </c>
      <c r="B18" s="2">
        <v>201</v>
      </c>
      <c r="C18" s="2" t="s">
        <v>76</v>
      </c>
      <c r="D18" s="3" t="s">
        <v>77</v>
      </c>
      <c r="E18" s="3" t="s">
        <v>78</v>
      </c>
      <c r="F18" s="2">
        <v>2</v>
      </c>
      <c r="G18" s="2">
        <v>9781234567</v>
      </c>
      <c r="H18" s="2">
        <v>5798</v>
      </c>
      <c r="I18" s="4" t="s">
        <v>18</v>
      </c>
      <c r="J18" s="6">
        <f>tblBookings[[#This Row],[CheckOut]]-tblBookings[[#This Row],[CheckIn]]</f>
        <v>2</v>
      </c>
      <c r="K18" s="6">
        <f>YEAR(tblBookings[[#This Row],[CheckIn]])</f>
        <v>2026</v>
      </c>
      <c r="L18" s="14" t="str">
        <f>TEXT(tblBookings[[#This Row],[CheckIn]],"MMM")</f>
        <v>Apr</v>
      </c>
      <c r="M18" s="14">
        <f>MONTH(tblBookings[[#This Row],[CheckIn]])</f>
        <v>4</v>
      </c>
      <c r="N18" s="14" t="str">
        <f>"Q"&amp;ROUNDUP(MONTH(tblBookings[[#This Row],[CheckIn]])/3,0)</f>
        <v>Q2</v>
      </c>
    </row>
    <row r="19" spans="1:14" x14ac:dyDescent="0.3">
      <c r="A19" s="5" t="s">
        <v>79</v>
      </c>
      <c r="B19" s="6">
        <v>202</v>
      </c>
      <c r="C19" s="6" t="s">
        <v>80</v>
      </c>
      <c r="D19" s="7" t="s">
        <v>81</v>
      </c>
      <c r="E19" s="7" t="s">
        <v>82</v>
      </c>
      <c r="F19" s="6">
        <v>2</v>
      </c>
      <c r="G19" s="6">
        <v>9892345678</v>
      </c>
      <c r="H19" s="6">
        <v>7497</v>
      </c>
      <c r="I19" s="8" t="s">
        <v>13</v>
      </c>
      <c r="J19" s="6">
        <f>tblBookings[[#This Row],[CheckOut]]-tblBookings[[#This Row],[CheckIn]]</f>
        <v>3</v>
      </c>
      <c r="K19" s="6">
        <f>YEAR(tblBookings[[#This Row],[CheckIn]])</f>
        <v>2026</v>
      </c>
      <c r="L19" s="14" t="str">
        <f>TEXT(tblBookings[[#This Row],[CheckIn]],"MMM")</f>
        <v>Apr</v>
      </c>
      <c r="M19" s="14">
        <f>MONTH(tblBookings[[#This Row],[CheckIn]])</f>
        <v>4</v>
      </c>
      <c r="N19" s="14" t="str">
        <f>"Q"&amp;ROUNDUP(MONTH(tblBookings[[#This Row],[CheckIn]])/3,0)</f>
        <v>Q2</v>
      </c>
    </row>
    <row r="20" spans="1:14" x14ac:dyDescent="0.3">
      <c r="A20" s="1" t="s">
        <v>83</v>
      </c>
      <c r="B20" s="2">
        <v>206</v>
      </c>
      <c r="C20" s="2" t="s">
        <v>84</v>
      </c>
      <c r="D20" s="3" t="s">
        <v>85</v>
      </c>
      <c r="E20" s="3" t="s">
        <v>86</v>
      </c>
      <c r="F20" s="2">
        <v>3</v>
      </c>
      <c r="G20" s="2">
        <v>9903456789</v>
      </c>
      <c r="H20" s="2">
        <v>23996</v>
      </c>
      <c r="I20" s="4" t="s">
        <v>18</v>
      </c>
      <c r="J20" s="6">
        <f>tblBookings[[#This Row],[CheckOut]]-tblBookings[[#This Row],[CheckIn]]</f>
        <v>4</v>
      </c>
      <c r="K20" s="6">
        <f>YEAR(tblBookings[[#This Row],[CheckIn]])</f>
        <v>2026</v>
      </c>
      <c r="L20" s="14" t="str">
        <f>TEXT(tblBookings[[#This Row],[CheckIn]],"MMM")</f>
        <v>Apr</v>
      </c>
      <c r="M20" s="14">
        <f>MONTH(tblBookings[[#This Row],[CheckIn]])</f>
        <v>4</v>
      </c>
      <c r="N20" s="14" t="str">
        <f>"Q"&amp;ROUNDUP(MONTH(tblBookings[[#This Row],[CheckIn]])/3,0)</f>
        <v>Q2</v>
      </c>
    </row>
    <row r="21" spans="1:14" x14ac:dyDescent="0.3">
      <c r="A21" s="5" t="s">
        <v>87</v>
      </c>
      <c r="B21" s="6">
        <v>203</v>
      </c>
      <c r="C21" s="6" t="s">
        <v>88</v>
      </c>
      <c r="D21" s="7" t="s">
        <v>89</v>
      </c>
      <c r="E21" s="7" t="s">
        <v>90</v>
      </c>
      <c r="F21" s="6">
        <v>4</v>
      </c>
      <c r="G21" s="6">
        <v>9014567890</v>
      </c>
      <c r="H21" s="6">
        <v>11097</v>
      </c>
      <c r="I21" s="8" t="s">
        <v>13</v>
      </c>
      <c r="J21" s="6">
        <f>tblBookings[[#This Row],[CheckOut]]-tblBookings[[#This Row],[CheckIn]]</f>
        <v>3</v>
      </c>
      <c r="K21" s="6">
        <f>YEAR(tblBookings[[#This Row],[CheckIn]])</f>
        <v>2026</v>
      </c>
      <c r="L21" s="14" t="str">
        <f>TEXT(tblBookings[[#This Row],[CheckIn]],"MMM")</f>
        <v>Apr</v>
      </c>
      <c r="M21" s="14">
        <f>MONTH(tblBookings[[#This Row],[CheckIn]])</f>
        <v>4</v>
      </c>
      <c r="N21" s="14" t="str">
        <f>"Q"&amp;ROUNDUP(MONTH(tblBookings[[#This Row],[CheckIn]])/3,0)</f>
        <v>Q2</v>
      </c>
    </row>
    <row r="22" spans="1:14" x14ac:dyDescent="0.3">
      <c r="A22" s="1" t="s">
        <v>91</v>
      </c>
      <c r="B22" s="2">
        <v>205</v>
      </c>
      <c r="C22" s="2" t="s">
        <v>92</v>
      </c>
      <c r="D22" s="3" t="s">
        <v>93</v>
      </c>
      <c r="E22" s="3" t="s">
        <v>94</v>
      </c>
      <c r="F22" s="2">
        <v>2</v>
      </c>
      <c r="G22" s="2">
        <v>9125678901</v>
      </c>
      <c r="H22" s="2">
        <v>4398</v>
      </c>
      <c r="I22" s="4" t="s">
        <v>13</v>
      </c>
      <c r="J22" s="6">
        <f>tblBookings[[#This Row],[CheckOut]]-tblBookings[[#This Row],[CheckIn]]</f>
        <v>2</v>
      </c>
      <c r="K22" s="6">
        <f>YEAR(tblBookings[[#This Row],[CheckIn]])</f>
        <v>2026</v>
      </c>
      <c r="L22" s="14" t="str">
        <f>TEXT(tblBookings[[#This Row],[CheckIn]],"MMM")</f>
        <v>Apr</v>
      </c>
      <c r="M22" s="14">
        <f>MONTH(tblBookings[[#This Row],[CheckIn]])</f>
        <v>4</v>
      </c>
      <c r="N22" s="14" t="str">
        <f>"Q"&amp;ROUNDUP(MONTH(tblBookings[[#This Row],[CheckIn]])/3,0)</f>
        <v>Q2</v>
      </c>
    </row>
    <row r="23" spans="1:14" x14ac:dyDescent="0.3">
      <c r="A23" s="5" t="s">
        <v>95</v>
      </c>
      <c r="B23" s="6">
        <v>204</v>
      </c>
      <c r="C23" s="6" t="s">
        <v>96</v>
      </c>
      <c r="D23" s="7" t="s">
        <v>97</v>
      </c>
      <c r="E23" s="7" t="s">
        <v>98</v>
      </c>
      <c r="F23" s="6">
        <v>2</v>
      </c>
      <c r="G23" s="6">
        <v>9236789012</v>
      </c>
      <c r="H23" s="6">
        <v>12597</v>
      </c>
      <c r="I23" s="8" t="s">
        <v>18</v>
      </c>
      <c r="J23" s="6">
        <f>tblBookings[[#This Row],[CheckOut]]-tblBookings[[#This Row],[CheckIn]]</f>
        <v>3</v>
      </c>
      <c r="K23" s="6">
        <f>YEAR(tblBookings[[#This Row],[CheckIn]])</f>
        <v>2026</v>
      </c>
      <c r="L23" s="14" t="str">
        <f>TEXT(tblBookings[[#This Row],[CheckIn]],"MMM")</f>
        <v>Apr</v>
      </c>
      <c r="M23" s="14">
        <f>MONTH(tblBookings[[#This Row],[CheckIn]])</f>
        <v>4</v>
      </c>
      <c r="N23" s="14" t="str">
        <f>"Q"&amp;ROUNDUP(MONTH(tblBookings[[#This Row],[CheckIn]])/3,0)</f>
        <v>Q2</v>
      </c>
    </row>
    <row r="24" spans="1:14" x14ac:dyDescent="0.3">
      <c r="A24" s="1" t="s">
        <v>99</v>
      </c>
      <c r="B24" s="2">
        <v>201</v>
      </c>
      <c r="C24" s="2" t="s">
        <v>100</v>
      </c>
      <c r="D24" s="3" t="s">
        <v>101</v>
      </c>
      <c r="E24" s="3" t="s">
        <v>102</v>
      </c>
      <c r="F24" s="2">
        <v>2</v>
      </c>
      <c r="G24" s="2">
        <v>9347890123</v>
      </c>
      <c r="H24" s="2">
        <v>8697</v>
      </c>
      <c r="I24" s="4" t="s">
        <v>13</v>
      </c>
      <c r="J24" s="6">
        <f>tblBookings[[#This Row],[CheckOut]]-tblBookings[[#This Row],[CheckIn]]</f>
        <v>3</v>
      </c>
      <c r="K24" s="6">
        <f>YEAR(tblBookings[[#This Row],[CheckIn]])</f>
        <v>2026</v>
      </c>
      <c r="L24" s="14" t="str">
        <f>TEXT(tblBookings[[#This Row],[CheckIn]],"MMM")</f>
        <v>May</v>
      </c>
      <c r="M24" s="14">
        <f>MONTH(tblBookings[[#This Row],[CheckIn]])</f>
        <v>5</v>
      </c>
      <c r="N24" s="14" t="str">
        <f>"Q"&amp;ROUNDUP(MONTH(tblBookings[[#This Row],[CheckIn]])/3,0)</f>
        <v>Q2</v>
      </c>
    </row>
    <row r="25" spans="1:14" x14ac:dyDescent="0.3">
      <c r="A25" s="5" t="s">
        <v>103</v>
      </c>
      <c r="B25" s="6">
        <v>202</v>
      </c>
      <c r="C25" s="6" t="s">
        <v>104</v>
      </c>
      <c r="D25" s="7" t="s">
        <v>105</v>
      </c>
      <c r="E25" s="7" t="s">
        <v>106</v>
      </c>
      <c r="F25" s="6">
        <v>2</v>
      </c>
      <c r="G25" s="6">
        <v>9458901234</v>
      </c>
      <c r="H25" s="6">
        <v>4998</v>
      </c>
      <c r="I25" s="8" t="s">
        <v>13</v>
      </c>
      <c r="J25" s="6">
        <f>tblBookings[[#This Row],[CheckOut]]-tblBookings[[#This Row],[CheckIn]]</f>
        <v>2</v>
      </c>
      <c r="K25" s="6">
        <f>YEAR(tblBookings[[#This Row],[CheckIn]])</f>
        <v>2026</v>
      </c>
      <c r="L25" s="14" t="str">
        <f>TEXT(tblBookings[[#This Row],[CheckIn]],"MMM")</f>
        <v>May</v>
      </c>
      <c r="M25" s="14">
        <f>MONTH(tblBookings[[#This Row],[CheckIn]])</f>
        <v>5</v>
      </c>
      <c r="N25" s="14" t="str">
        <f>"Q"&amp;ROUNDUP(MONTH(tblBookings[[#This Row],[CheckIn]])/3,0)</f>
        <v>Q2</v>
      </c>
    </row>
    <row r="26" spans="1:14" x14ac:dyDescent="0.3">
      <c r="A26" s="1" t="s">
        <v>107</v>
      </c>
      <c r="B26" s="2">
        <v>206</v>
      </c>
      <c r="C26" s="2" t="s">
        <v>108</v>
      </c>
      <c r="D26" s="3" t="s">
        <v>109</v>
      </c>
      <c r="E26" s="3" t="s">
        <v>110</v>
      </c>
      <c r="F26" s="2">
        <v>3</v>
      </c>
      <c r="G26" s="2">
        <v>9569012345</v>
      </c>
      <c r="H26" s="2">
        <v>17997</v>
      </c>
      <c r="I26" s="4" t="s">
        <v>18</v>
      </c>
      <c r="J26" s="6">
        <f>tblBookings[[#This Row],[CheckOut]]-tblBookings[[#This Row],[CheckIn]]</f>
        <v>3</v>
      </c>
      <c r="K26" s="6">
        <f>YEAR(tblBookings[[#This Row],[CheckIn]])</f>
        <v>2026</v>
      </c>
      <c r="L26" s="14" t="str">
        <f>TEXT(tblBookings[[#This Row],[CheckIn]],"MMM")</f>
        <v>May</v>
      </c>
      <c r="M26" s="14">
        <f>MONTH(tblBookings[[#This Row],[CheckIn]])</f>
        <v>5</v>
      </c>
      <c r="N26" s="14" t="str">
        <f>"Q"&amp;ROUNDUP(MONTH(tblBookings[[#This Row],[CheckIn]])/3,0)</f>
        <v>Q2</v>
      </c>
    </row>
    <row r="27" spans="1:14" x14ac:dyDescent="0.3">
      <c r="A27" s="5" t="s">
        <v>111</v>
      </c>
      <c r="B27" s="6">
        <v>203</v>
      </c>
      <c r="C27" s="6" t="s">
        <v>112</v>
      </c>
      <c r="D27" s="7" t="s">
        <v>113</v>
      </c>
      <c r="E27" s="7" t="s">
        <v>114</v>
      </c>
      <c r="F27" s="6">
        <v>4</v>
      </c>
      <c r="G27" s="6">
        <v>9670123987</v>
      </c>
      <c r="H27" s="6">
        <v>14796</v>
      </c>
      <c r="I27" s="8" t="s">
        <v>13</v>
      </c>
      <c r="J27" s="6">
        <f>tblBookings[[#This Row],[CheckOut]]-tblBookings[[#This Row],[CheckIn]]</f>
        <v>4</v>
      </c>
      <c r="K27" s="6">
        <f>YEAR(tblBookings[[#This Row],[CheckIn]])</f>
        <v>2026</v>
      </c>
      <c r="L27" s="14" t="str">
        <f>TEXT(tblBookings[[#This Row],[CheckIn]],"MMM")</f>
        <v>May</v>
      </c>
      <c r="M27" s="14">
        <f>MONTH(tblBookings[[#This Row],[CheckIn]])</f>
        <v>5</v>
      </c>
      <c r="N27" s="14" t="str">
        <f>"Q"&amp;ROUNDUP(MONTH(tblBookings[[#This Row],[CheckIn]])/3,0)</f>
        <v>Q2</v>
      </c>
    </row>
    <row r="28" spans="1:14" x14ac:dyDescent="0.3">
      <c r="A28" s="1" t="s">
        <v>115</v>
      </c>
      <c r="B28" s="2">
        <v>205</v>
      </c>
      <c r="C28" s="2" t="s">
        <v>116</v>
      </c>
      <c r="D28" s="3" t="s">
        <v>117</v>
      </c>
      <c r="E28" s="3" t="s">
        <v>118</v>
      </c>
      <c r="F28" s="2">
        <v>2</v>
      </c>
      <c r="G28" s="2">
        <v>9781234098</v>
      </c>
      <c r="H28" s="2">
        <v>6597</v>
      </c>
      <c r="I28" s="4" t="s">
        <v>18</v>
      </c>
      <c r="J28" s="6">
        <f>tblBookings[[#This Row],[CheckOut]]-tblBookings[[#This Row],[CheckIn]]</f>
        <v>3</v>
      </c>
      <c r="K28" s="6">
        <f>YEAR(tblBookings[[#This Row],[CheckIn]])</f>
        <v>2026</v>
      </c>
      <c r="L28" s="14" t="str">
        <f>TEXT(tblBookings[[#This Row],[CheckIn]],"MMM")</f>
        <v>May</v>
      </c>
      <c r="M28" s="14">
        <f>MONTH(tblBookings[[#This Row],[CheckIn]])</f>
        <v>5</v>
      </c>
      <c r="N28" s="14" t="str">
        <f>"Q"&amp;ROUNDUP(MONTH(tblBookings[[#This Row],[CheckIn]])/3,0)</f>
        <v>Q2</v>
      </c>
    </row>
    <row r="29" spans="1:14" x14ac:dyDescent="0.3">
      <c r="A29" s="5" t="s">
        <v>119</v>
      </c>
      <c r="B29" s="6">
        <v>201</v>
      </c>
      <c r="C29" s="6" t="s">
        <v>120</v>
      </c>
      <c r="D29" s="7" t="s">
        <v>121</v>
      </c>
      <c r="E29" s="7" t="s">
        <v>122</v>
      </c>
      <c r="F29" s="6">
        <v>2</v>
      </c>
      <c r="G29" s="6">
        <v>9892345109</v>
      </c>
      <c r="H29" s="6">
        <v>5798</v>
      </c>
      <c r="I29" s="8" t="s">
        <v>13</v>
      </c>
      <c r="J29" s="6">
        <f>tblBookings[[#This Row],[CheckOut]]-tblBookings[[#This Row],[CheckIn]]</f>
        <v>2</v>
      </c>
      <c r="K29" s="6">
        <f>YEAR(tblBookings[[#This Row],[CheckIn]])</f>
        <v>2026</v>
      </c>
      <c r="L29" s="14" t="str">
        <f>TEXT(tblBookings[[#This Row],[CheckIn]],"MMM")</f>
        <v>May</v>
      </c>
      <c r="M29" s="14">
        <f>MONTH(tblBookings[[#This Row],[CheckIn]])</f>
        <v>5</v>
      </c>
      <c r="N29" s="14" t="str">
        <f>"Q"&amp;ROUNDUP(MONTH(tblBookings[[#This Row],[CheckIn]])/3,0)</f>
        <v>Q2</v>
      </c>
    </row>
    <row r="30" spans="1:14" x14ac:dyDescent="0.3">
      <c r="A30" s="1" t="s">
        <v>123</v>
      </c>
      <c r="B30" s="2">
        <v>204</v>
      </c>
      <c r="C30" s="2" t="s">
        <v>124</v>
      </c>
      <c r="D30" s="3" t="s">
        <v>125</v>
      </c>
      <c r="E30" s="3" t="s">
        <v>126</v>
      </c>
      <c r="F30" s="2">
        <v>2</v>
      </c>
      <c r="G30" s="2">
        <v>9903456210</v>
      </c>
      <c r="H30" s="2">
        <v>16796</v>
      </c>
      <c r="I30" s="4" t="s">
        <v>13</v>
      </c>
      <c r="J30" s="6">
        <f>tblBookings[[#This Row],[CheckOut]]-tblBookings[[#This Row],[CheckIn]]</f>
        <v>4</v>
      </c>
      <c r="K30" s="6">
        <f>YEAR(tblBookings[[#This Row],[CheckIn]])</f>
        <v>2026</v>
      </c>
      <c r="L30" s="14" t="str">
        <f>TEXT(tblBookings[[#This Row],[CheckIn]],"MMM")</f>
        <v>Jun</v>
      </c>
      <c r="M30" s="14">
        <f>MONTH(tblBookings[[#This Row],[CheckIn]])</f>
        <v>6</v>
      </c>
      <c r="N30" s="14" t="str">
        <f>"Q"&amp;ROUNDUP(MONTH(tblBookings[[#This Row],[CheckIn]])/3,0)</f>
        <v>Q2</v>
      </c>
    </row>
    <row r="31" spans="1:14" x14ac:dyDescent="0.3">
      <c r="A31" s="5" t="s">
        <v>127</v>
      </c>
      <c r="B31" s="6">
        <v>202</v>
      </c>
      <c r="C31" s="6" t="s">
        <v>128</v>
      </c>
      <c r="D31" s="7" t="s">
        <v>126</v>
      </c>
      <c r="E31" s="7" t="s">
        <v>129</v>
      </c>
      <c r="F31" s="6">
        <v>2</v>
      </c>
      <c r="G31" s="6">
        <v>9014567321</v>
      </c>
      <c r="H31" s="6">
        <v>7497</v>
      </c>
      <c r="I31" s="8" t="s">
        <v>18</v>
      </c>
      <c r="J31" s="6">
        <f>tblBookings[[#This Row],[CheckOut]]-tblBookings[[#This Row],[CheckIn]]</f>
        <v>3</v>
      </c>
      <c r="K31" s="6">
        <f>YEAR(tblBookings[[#This Row],[CheckIn]])</f>
        <v>2026</v>
      </c>
      <c r="L31" s="14" t="str">
        <f>TEXT(tblBookings[[#This Row],[CheckIn]],"MMM")</f>
        <v>Jun</v>
      </c>
      <c r="M31" s="14">
        <f>MONTH(tblBookings[[#This Row],[CheckIn]])</f>
        <v>6</v>
      </c>
      <c r="N31" s="14" t="str">
        <f>"Q"&amp;ROUNDUP(MONTH(tblBookings[[#This Row],[CheckIn]])/3,0)</f>
        <v>Q2</v>
      </c>
    </row>
    <row r="32" spans="1:14" x14ac:dyDescent="0.3">
      <c r="A32" s="1" t="s">
        <v>130</v>
      </c>
      <c r="B32" s="2">
        <v>203</v>
      </c>
      <c r="C32" s="2" t="s">
        <v>131</v>
      </c>
      <c r="D32" s="3" t="s">
        <v>132</v>
      </c>
      <c r="E32" s="3" t="s">
        <v>133</v>
      </c>
      <c r="F32" s="2">
        <v>3</v>
      </c>
      <c r="G32" s="2">
        <v>9125678432</v>
      </c>
      <c r="H32" s="2">
        <v>7398</v>
      </c>
      <c r="I32" s="4" t="s">
        <v>13</v>
      </c>
      <c r="J32" s="6">
        <f>tblBookings[[#This Row],[CheckOut]]-tblBookings[[#This Row],[CheckIn]]</f>
        <v>2</v>
      </c>
      <c r="K32" s="6">
        <f>YEAR(tblBookings[[#This Row],[CheckIn]])</f>
        <v>2026</v>
      </c>
      <c r="L32" s="14" t="str">
        <f>TEXT(tblBookings[[#This Row],[CheckIn]],"MMM")</f>
        <v>Jun</v>
      </c>
      <c r="M32" s="14">
        <f>MONTH(tblBookings[[#This Row],[CheckIn]])</f>
        <v>6</v>
      </c>
      <c r="N32" s="14" t="str">
        <f>"Q"&amp;ROUNDUP(MONTH(tblBookings[[#This Row],[CheckIn]])/3,0)</f>
        <v>Q2</v>
      </c>
    </row>
    <row r="33" spans="1:14" x14ac:dyDescent="0.3">
      <c r="A33" s="5" t="s">
        <v>134</v>
      </c>
      <c r="B33" s="6">
        <v>206</v>
      </c>
      <c r="C33" s="6" t="s">
        <v>135</v>
      </c>
      <c r="D33" s="7" t="s">
        <v>136</v>
      </c>
      <c r="E33" s="7" t="s">
        <v>137</v>
      </c>
      <c r="F33" s="6">
        <v>3</v>
      </c>
      <c r="G33" s="6">
        <v>9236789543</v>
      </c>
      <c r="H33" s="6">
        <v>29995</v>
      </c>
      <c r="I33" s="8" t="s">
        <v>13</v>
      </c>
      <c r="J33" s="6">
        <f>tblBookings[[#This Row],[CheckOut]]-tblBookings[[#This Row],[CheckIn]]</f>
        <v>5</v>
      </c>
      <c r="K33" s="6">
        <f>YEAR(tblBookings[[#This Row],[CheckIn]])</f>
        <v>2026</v>
      </c>
      <c r="L33" s="14" t="str">
        <f>TEXT(tblBookings[[#This Row],[CheckIn]],"MMM")</f>
        <v>Jun</v>
      </c>
      <c r="M33" s="14">
        <f>MONTH(tblBookings[[#This Row],[CheckIn]])</f>
        <v>6</v>
      </c>
      <c r="N33" s="14" t="str">
        <f>"Q"&amp;ROUNDUP(MONTH(tblBookings[[#This Row],[CheckIn]])/3,0)</f>
        <v>Q2</v>
      </c>
    </row>
    <row r="34" spans="1:14" x14ac:dyDescent="0.3">
      <c r="A34" s="1" t="s">
        <v>138</v>
      </c>
      <c r="B34" s="2">
        <v>205</v>
      </c>
      <c r="C34" s="2" t="s">
        <v>139</v>
      </c>
      <c r="D34" s="3" t="s">
        <v>137</v>
      </c>
      <c r="E34" s="3" t="s">
        <v>140</v>
      </c>
      <c r="F34" s="2">
        <v>2</v>
      </c>
      <c r="G34" s="2">
        <v>9347890654</v>
      </c>
      <c r="H34" s="2">
        <v>4398</v>
      </c>
      <c r="I34" s="4" t="s">
        <v>18</v>
      </c>
      <c r="J34" s="6">
        <f>tblBookings[[#This Row],[CheckOut]]-tblBookings[[#This Row],[CheckIn]]</f>
        <v>2</v>
      </c>
      <c r="K34" s="6">
        <f>YEAR(tblBookings[[#This Row],[CheckIn]])</f>
        <v>2026</v>
      </c>
      <c r="L34" s="14" t="str">
        <f>TEXT(tblBookings[[#This Row],[CheckIn]],"MMM")</f>
        <v>Jun</v>
      </c>
      <c r="M34" s="14">
        <f>MONTH(tblBookings[[#This Row],[CheckIn]])</f>
        <v>6</v>
      </c>
      <c r="N34" s="14" t="str">
        <f>"Q"&amp;ROUNDUP(MONTH(tblBookings[[#This Row],[CheckIn]])/3,0)</f>
        <v>Q2</v>
      </c>
    </row>
    <row r="35" spans="1:14" x14ac:dyDescent="0.3">
      <c r="A35" s="5" t="s">
        <v>141</v>
      </c>
      <c r="B35" s="6">
        <v>201</v>
      </c>
      <c r="C35" s="6" t="s">
        <v>142</v>
      </c>
      <c r="D35" s="7" t="s">
        <v>143</v>
      </c>
      <c r="E35" s="7" t="s">
        <v>144</v>
      </c>
      <c r="F35" s="6">
        <v>2</v>
      </c>
      <c r="G35" s="6">
        <v>9458901765</v>
      </c>
      <c r="H35" s="6">
        <v>8697</v>
      </c>
      <c r="I35" s="8" t="s">
        <v>13</v>
      </c>
      <c r="J35" s="6">
        <f>tblBookings[[#This Row],[CheckOut]]-tblBookings[[#This Row],[CheckIn]]</f>
        <v>3</v>
      </c>
      <c r="K35" s="6">
        <f>YEAR(tblBookings[[#This Row],[CheckIn]])</f>
        <v>2026</v>
      </c>
      <c r="L35" s="14" t="str">
        <f>TEXT(tblBookings[[#This Row],[CheckIn]],"MMM")</f>
        <v>Jun</v>
      </c>
      <c r="M35" s="14">
        <f>MONTH(tblBookings[[#This Row],[CheckIn]])</f>
        <v>6</v>
      </c>
      <c r="N35" s="14" t="str">
        <f>"Q"&amp;ROUNDUP(MONTH(tblBookings[[#This Row],[CheckIn]])/3,0)</f>
        <v>Q2</v>
      </c>
    </row>
    <row r="36" spans="1:14" x14ac:dyDescent="0.3">
      <c r="A36" s="1" t="s">
        <v>145</v>
      </c>
      <c r="B36" s="2">
        <v>204</v>
      </c>
      <c r="C36" s="2" t="s">
        <v>146</v>
      </c>
      <c r="D36" s="3" t="s">
        <v>147</v>
      </c>
      <c r="E36" s="3" t="s">
        <v>148</v>
      </c>
      <c r="F36" s="2">
        <v>2</v>
      </c>
      <c r="G36" s="2">
        <v>9569012876</v>
      </c>
      <c r="H36" s="2">
        <v>8398</v>
      </c>
      <c r="I36" s="4" t="s">
        <v>18</v>
      </c>
      <c r="J36" s="6">
        <f>tblBookings[[#This Row],[CheckOut]]-tblBookings[[#This Row],[CheckIn]]</f>
        <v>2</v>
      </c>
      <c r="K36" s="6">
        <f>YEAR(tblBookings[[#This Row],[CheckIn]])</f>
        <v>2026</v>
      </c>
      <c r="L36" s="14" t="str">
        <f>TEXT(tblBookings[[#This Row],[CheckIn]],"MMM")</f>
        <v>Jul</v>
      </c>
      <c r="M36" s="14">
        <f>MONTH(tblBookings[[#This Row],[CheckIn]])</f>
        <v>7</v>
      </c>
      <c r="N36" s="14" t="str">
        <f>"Q"&amp;ROUNDUP(MONTH(tblBookings[[#This Row],[CheckIn]])/3,0)</f>
        <v>Q3</v>
      </c>
    </row>
    <row r="37" spans="1:14" x14ac:dyDescent="0.3">
      <c r="A37" s="5" t="s">
        <v>149</v>
      </c>
      <c r="B37" s="6">
        <v>202</v>
      </c>
      <c r="C37" s="6" t="s">
        <v>150</v>
      </c>
      <c r="D37" s="7" t="s">
        <v>151</v>
      </c>
      <c r="E37" s="7" t="s">
        <v>152</v>
      </c>
      <c r="F37" s="6">
        <v>2</v>
      </c>
      <c r="G37" s="6">
        <v>9670123987</v>
      </c>
      <c r="H37" s="6">
        <v>7497</v>
      </c>
      <c r="I37" s="8" t="s">
        <v>13</v>
      </c>
      <c r="J37" s="6">
        <f>tblBookings[[#This Row],[CheckOut]]-tblBookings[[#This Row],[CheckIn]]</f>
        <v>3</v>
      </c>
      <c r="K37" s="6">
        <f>YEAR(tblBookings[[#This Row],[CheckIn]])</f>
        <v>2026</v>
      </c>
      <c r="L37" s="14" t="str">
        <f>TEXT(tblBookings[[#This Row],[CheckIn]],"MMM")</f>
        <v>Jul</v>
      </c>
      <c r="M37" s="14">
        <f>MONTH(tblBookings[[#This Row],[CheckIn]])</f>
        <v>7</v>
      </c>
      <c r="N37" s="14" t="str">
        <f>"Q"&amp;ROUNDUP(MONTH(tblBookings[[#This Row],[CheckIn]])/3,0)</f>
        <v>Q3</v>
      </c>
    </row>
    <row r="38" spans="1:14" x14ac:dyDescent="0.3">
      <c r="A38" s="1" t="s">
        <v>153</v>
      </c>
      <c r="B38" s="2">
        <v>203</v>
      </c>
      <c r="C38" s="2" t="s">
        <v>154</v>
      </c>
      <c r="D38" s="3" t="s">
        <v>155</v>
      </c>
      <c r="E38" s="3" t="s">
        <v>156</v>
      </c>
      <c r="F38" s="2">
        <v>4</v>
      </c>
      <c r="G38" s="2">
        <v>9781234098</v>
      </c>
      <c r="H38" s="2">
        <v>14796</v>
      </c>
      <c r="I38" s="4" t="s">
        <v>13</v>
      </c>
      <c r="J38" s="6">
        <f>tblBookings[[#This Row],[CheckOut]]-tblBookings[[#This Row],[CheckIn]]</f>
        <v>4</v>
      </c>
      <c r="K38" s="6">
        <f>YEAR(tblBookings[[#This Row],[CheckIn]])</f>
        <v>2026</v>
      </c>
      <c r="L38" s="14" t="str">
        <f>TEXT(tblBookings[[#This Row],[CheckIn]],"MMM")</f>
        <v>Jul</v>
      </c>
      <c r="M38" s="14">
        <f>MONTH(tblBookings[[#This Row],[CheckIn]])</f>
        <v>7</v>
      </c>
      <c r="N38" s="14" t="str">
        <f>"Q"&amp;ROUNDUP(MONTH(tblBookings[[#This Row],[CheckIn]])/3,0)</f>
        <v>Q3</v>
      </c>
    </row>
    <row r="39" spans="1:14" x14ac:dyDescent="0.3">
      <c r="A39" s="5" t="s">
        <v>157</v>
      </c>
      <c r="B39" s="6">
        <v>206</v>
      </c>
      <c r="C39" s="6" t="s">
        <v>158</v>
      </c>
      <c r="D39" s="7" t="s">
        <v>159</v>
      </c>
      <c r="E39" s="7" t="s">
        <v>160</v>
      </c>
      <c r="F39" s="6">
        <v>3</v>
      </c>
      <c r="G39" s="6">
        <v>9892345109</v>
      </c>
      <c r="H39" s="6">
        <v>17997</v>
      </c>
      <c r="I39" s="8" t="s">
        <v>18</v>
      </c>
      <c r="J39" s="6">
        <f>tblBookings[[#This Row],[CheckOut]]-tblBookings[[#This Row],[CheckIn]]</f>
        <v>3</v>
      </c>
      <c r="K39" s="6">
        <f>YEAR(tblBookings[[#This Row],[CheckIn]])</f>
        <v>2026</v>
      </c>
      <c r="L39" s="14" t="str">
        <f>TEXT(tblBookings[[#This Row],[CheckIn]],"MMM")</f>
        <v>Jul</v>
      </c>
      <c r="M39" s="14">
        <f>MONTH(tblBookings[[#This Row],[CheckIn]])</f>
        <v>7</v>
      </c>
      <c r="N39" s="14" t="str">
        <f>"Q"&amp;ROUNDUP(MONTH(tblBookings[[#This Row],[CheckIn]])/3,0)</f>
        <v>Q3</v>
      </c>
    </row>
    <row r="40" spans="1:14" x14ac:dyDescent="0.3">
      <c r="A40" s="1" t="s">
        <v>161</v>
      </c>
      <c r="B40" s="2">
        <v>205</v>
      </c>
      <c r="C40" s="2" t="s">
        <v>162</v>
      </c>
      <c r="D40" s="3" t="s">
        <v>163</v>
      </c>
      <c r="E40" s="3" t="s">
        <v>164</v>
      </c>
      <c r="F40" s="2">
        <v>2</v>
      </c>
      <c r="G40" s="2">
        <v>9903456210</v>
      </c>
      <c r="H40" s="2">
        <v>6597</v>
      </c>
      <c r="I40" s="4" t="s">
        <v>13</v>
      </c>
      <c r="J40" s="6">
        <f>tblBookings[[#This Row],[CheckOut]]-tblBookings[[#This Row],[CheckIn]]</f>
        <v>3</v>
      </c>
      <c r="K40" s="6">
        <f>YEAR(tblBookings[[#This Row],[CheckIn]])</f>
        <v>2026</v>
      </c>
      <c r="L40" s="14" t="str">
        <f>TEXT(tblBookings[[#This Row],[CheckIn]],"MMM")</f>
        <v>Jul</v>
      </c>
      <c r="M40" s="14">
        <f>MONTH(tblBookings[[#This Row],[CheckIn]])</f>
        <v>7</v>
      </c>
      <c r="N40" s="14" t="str">
        <f>"Q"&amp;ROUNDUP(MONTH(tblBookings[[#This Row],[CheckIn]])/3,0)</f>
        <v>Q3</v>
      </c>
    </row>
    <row r="41" spans="1:14" x14ac:dyDescent="0.3">
      <c r="A41" s="5" t="s">
        <v>165</v>
      </c>
      <c r="B41" s="6">
        <v>201</v>
      </c>
      <c r="C41" s="6" t="s">
        <v>166</v>
      </c>
      <c r="D41" s="7" t="s">
        <v>167</v>
      </c>
      <c r="E41" s="7" t="s">
        <v>168</v>
      </c>
      <c r="F41" s="6">
        <v>2</v>
      </c>
      <c r="G41" s="6">
        <v>9014567321</v>
      </c>
      <c r="H41" s="6">
        <v>5798</v>
      </c>
      <c r="I41" s="8" t="s">
        <v>18</v>
      </c>
      <c r="J41" s="6">
        <f>tblBookings[[#This Row],[CheckOut]]-tblBookings[[#This Row],[CheckIn]]</f>
        <v>2</v>
      </c>
      <c r="K41" s="6">
        <f>YEAR(tblBookings[[#This Row],[CheckIn]])</f>
        <v>2026</v>
      </c>
      <c r="L41" s="14" t="str">
        <f>TEXT(tblBookings[[#This Row],[CheckIn]],"MMM")</f>
        <v>Jul</v>
      </c>
      <c r="M41" s="14">
        <f>MONTH(tblBookings[[#This Row],[CheckIn]])</f>
        <v>7</v>
      </c>
      <c r="N41" s="14" t="str">
        <f>"Q"&amp;ROUNDUP(MONTH(tblBookings[[#This Row],[CheckIn]])/3,0)</f>
        <v>Q3</v>
      </c>
    </row>
    <row r="42" spans="1:14" x14ac:dyDescent="0.3">
      <c r="A42" s="1" t="s">
        <v>169</v>
      </c>
      <c r="B42" s="2">
        <v>204</v>
      </c>
      <c r="C42" s="2" t="s">
        <v>170</v>
      </c>
      <c r="D42" s="3" t="s">
        <v>171</v>
      </c>
      <c r="E42" s="3" t="s">
        <v>172</v>
      </c>
      <c r="F42" s="2">
        <v>2</v>
      </c>
      <c r="G42" s="2">
        <v>9125678432</v>
      </c>
      <c r="H42" s="2">
        <v>12597</v>
      </c>
      <c r="I42" s="4" t="s">
        <v>13</v>
      </c>
      <c r="J42" s="6">
        <f>tblBookings[[#This Row],[CheckOut]]-tblBookings[[#This Row],[CheckIn]]</f>
        <v>3</v>
      </c>
      <c r="K42" s="6">
        <f>YEAR(tblBookings[[#This Row],[CheckIn]])</f>
        <v>2026</v>
      </c>
      <c r="L42" s="14" t="str">
        <f>TEXT(tblBookings[[#This Row],[CheckIn]],"MMM")</f>
        <v>Aug</v>
      </c>
      <c r="M42" s="14">
        <f>MONTH(tblBookings[[#This Row],[CheckIn]])</f>
        <v>8</v>
      </c>
      <c r="N42" s="14" t="str">
        <f>"Q"&amp;ROUNDUP(MONTH(tblBookings[[#This Row],[CheckIn]])/3,0)</f>
        <v>Q3</v>
      </c>
    </row>
    <row r="43" spans="1:14" x14ac:dyDescent="0.3">
      <c r="A43" s="5" t="s">
        <v>173</v>
      </c>
      <c r="B43" s="6">
        <v>202</v>
      </c>
      <c r="C43" s="6" t="s">
        <v>174</v>
      </c>
      <c r="D43" s="7" t="s">
        <v>175</v>
      </c>
      <c r="E43" s="7" t="s">
        <v>176</v>
      </c>
      <c r="F43" s="6">
        <v>2</v>
      </c>
      <c r="G43" s="6">
        <v>9236789543</v>
      </c>
      <c r="H43" s="6">
        <v>9996</v>
      </c>
      <c r="I43" s="8" t="s">
        <v>13</v>
      </c>
      <c r="J43" s="6">
        <f>tblBookings[[#This Row],[CheckOut]]-tblBookings[[#This Row],[CheckIn]]</f>
        <v>4</v>
      </c>
      <c r="K43" s="6">
        <f>YEAR(tblBookings[[#This Row],[CheckIn]])</f>
        <v>2026</v>
      </c>
      <c r="L43" s="14" t="str">
        <f>TEXT(tblBookings[[#This Row],[CheckIn]],"MMM")</f>
        <v>Aug</v>
      </c>
      <c r="M43" s="14">
        <f>MONTH(tblBookings[[#This Row],[CheckIn]])</f>
        <v>8</v>
      </c>
      <c r="N43" s="14" t="str">
        <f>"Q"&amp;ROUNDUP(MONTH(tblBookings[[#This Row],[CheckIn]])/3,0)</f>
        <v>Q3</v>
      </c>
    </row>
    <row r="44" spans="1:14" x14ac:dyDescent="0.3">
      <c r="A44" s="1" t="s">
        <v>177</v>
      </c>
      <c r="B44" s="2">
        <v>203</v>
      </c>
      <c r="C44" s="2" t="s">
        <v>178</v>
      </c>
      <c r="D44" s="3" t="s">
        <v>179</v>
      </c>
      <c r="E44" s="3" t="s">
        <v>180</v>
      </c>
      <c r="F44" s="2">
        <v>4</v>
      </c>
      <c r="G44" s="2">
        <v>9347890654</v>
      </c>
      <c r="H44" s="2">
        <v>11097</v>
      </c>
      <c r="I44" s="4" t="s">
        <v>18</v>
      </c>
      <c r="J44" s="6">
        <f>tblBookings[[#This Row],[CheckOut]]-tblBookings[[#This Row],[CheckIn]]</f>
        <v>3</v>
      </c>
      <c r="K44" s="6">
        <f>YEAR(tblBookings[[#This Row],[CheckIn]])</f>
        <v>2026</v>
      </c>
      <c r="L44" s="14" t="str">
        <f>TEXT(tblBookings[[#This Row],[CheckIn]],"MMM")</f>
        <v>Aug</v>
      </c>
      <c r="M44" s="14">
        <f>MONTH(tblBookings[[#This Row],[CheckIn]])</f>
        <v>8</v>
      </c>
      <c r="N44" s="14" t="str">
        <f>"Q"&amp;ROUNDUP(MONTH(tblBookings[[#This Row],[CheckIn]])/3,0)</f>
        <v>Q3</v>
      </c>
    </row>
    <row r="45" spans="1:14" x14ac:dyDescent="0.3">
      <c r="A45" s="5" t="s">
        <v>181</v>
      </c>
      <c r="B45" s="6">
        <v>206</v>
      </c>
      <c r="C45" s="6" t="s">
        <v>182</v>
      </c>
      <c r="D45" s="7" t="s">
        <v>183</v>
      </c>
      <c r="E45" s="7" t="s">
        <v>184</v>
      </c>
      <c r="F45" s="6">
        <v>2</v>
      </c>
      <c r="G45" s="6">
        <v>9458901765</v>
      </c>
      <c r="H45" s="6">
        <v>11998</v>
      </c>
      <c r="I45" s="8" t="s">
        <v>13</v>
      </c>
      <c r="J45" s="6">
        <f>tblBookings[[#This Row],[CheckOut]]-tblBookings[[#This Row],[CheckIn]]</f>
        <v>2</v>
      </c>
      <c r="K45" s="6">
        <f>YEAR(tblBookings[[#This Row],[CheckIn]])</f>
        <v>2026</v>
      </c>
      <c r="L45" s="14" t="str">
        <f>TEXT(tblBookings[[#This Row],[CheckIn]],"MMM")</f>
        <v>Aug</v>
      </c>
      <c r="M45" s="14">
        <f>MONTH(tblBookings[[#This Row],[CheckIn]])</f>
        <v>8</v>
      </c>
      <c r="N45" s="14" t="str">
        <f>"Q"&amp;ROUNDUP(MONTH(tblBookings[[#This Row],[CheckIn]])/3,0)</f>
        <v>Q3</v>
      </c>
    </row>
    <row r="46" spans="1:14" x14ac:dyDescent="0.3">
      <c r="A46" s="1" t="s">
        <v>185</v>
      </c>
      <c r="B46" s="2">
        <v>205</v>
      </c>
      <c r="C46" s="2" t="s">
        <v>186</v>
      </c>
      <c r="D46" s="3" t="s">
        <v>187</v>
      </c>
      <c r="E46" s="3" t="s">
        <v>188</v>
      </c>
      <c r="F46" s="2">
        <v>2</v>
      </c>
      <c r="G46" s="2">
        <v>9569012876</v>
      </c>
      <c r="H46" s="2">
        <v>4398</v>
      </c>
      <c r="I46" s="4" t="s">
        <v>13</v>
      </c>
      <c r="J46" s="6">
        <f>tblBookings[[#This Row],[CheckOut]]-tblBookings[[#This Row],[CheckIn]]</f>
        <v>2</v>
      </c>
      <c r="K46" s="6">
        <f>YEAR(tblBookings[[#This Row],[CheckIn]])</f>
        <v>2026</v>
      </c>
      <c r="L46" s="14" t="str">
        <f>TEXT(tblBookings[[#This Row],[CheckIn]],"MMM")</f>
        <v>Aug</v>
      </c>
      <c r="M46" s="14">
        <f>MONTH(tblBookings[[#This Row],[CheckIn]])</f>
        <v>8</v>
      </c>
      <c r="N46" s="14" t="str">
        <f>"Q"&amp;ROUNDUP(MONTH(tblBookings[[#This Row],[CheckIn]])/3,0)</f>
        <v>Q3</v>
      </c>
    </row>
    <row r="47" spans="1:14" x14ac:dyDescent="0.3">
      <c r="A47" s="5" t="s">
        <v>189</v>
      </c>
      <c r="B47" s="6">
        <v>201</v>
      </c>
      <c r="C47" s="6" t="s">
        <v>190</v>
      </c>
      <c r="D47" s="7" t="s">
        <v>191</v>
      </c>
      <c r="E47" s="7" t="s">
        <v>192</v>
      </c>
      <c r="F47" s="6">
        <v>2</v>
      </c>
      <c r="G47" s="6">
        <v>9670123987</v>
      </c>
      <c r="H47" s="6">
        <v>11596</v>
      </c>
      <c r="I47" s="8" t="s">
        <v>18</v>
      </c>
      <c r="J47" s="6">
        <f>tblBookings[[#This Row],[CheckOut]]-tblBookings[[#This Row],[CheckIn]]</f>
        <v>4</v>
      </c>
      <c r="K47" s="6">
        <f>YEAR(tblBookings[[#This Row],[CheckIn]])</f>
        <v>2026</v>
      </c>
      <c r="L47" s="14" t="str">
        <f>TEXT(tblBookings[[#This Row],[CheckIn]],"MMM")</f>
        <v>Aug</v>
      </c>
      <c r="M47" s="14">
        <f>MONTH(tblBookings[[#This Row],[CheckIn]])</f>
        <v>8</v>
      </c>
      <c r="N47" s="14" t="str">
        <f>"Q"&amp;ROUNDUP(MONTH(tblBookings[[#This Row],[CheckIn]])/3,0)</f>
        <v>Q3</v>
      </c>
    </row>
    <row r="48" spans="1:14" x14ac:dyDescent="0.3">
      <c r="A48" s="1" t="s">
        <v>193</v>
      </c>
      <c r="B48" s="2">
        <v>204</v>
      </c>
      <c r="C48" s="2" t="s">
        <v>194</v>
      </c>
      <c r="D48" s="3" t="s">
        <v>195</v>
      </c>
      <c r="E48" s="3" t="s">
        <v>196</v>
      </c>
      <c r="F48" s="2">
        <v>2</v>
      </c>
      <c r="G48" s="2">
        <v>9781234098</v>
      </c>
      <c r="H48" s="2">
        <v>16796</v>
      </c>
      <c r="I48" s="4" t="s">
        <v>13</v>
      </c>
      <c r="J48" s="6">
        <f>tblBookings[[#This Row],[CheckOut]]-tblBookings[[#This Row],[CheckIn]]</f>
        <v>4</v>
      </c>
      <c r="K48" s="6">
        <f>YEAR(tblBookings[[#This Row],[CheckIn]])</f>
        <v>2026</v>
      </c>
      <c r="L48" s="14" t="str">
        <f>TEXT(tblBookings[[#This Row],[CheckIn]],"MMM")</f>
        <v>Sep</v>
      </c>
      <c r="M48" s="14">
        <f>MONTH(tblBookings[[#This Row],[CheckIn]])</f>
        <v>9</v>
      </c>
      <c r="N48" s="14" t="str">
        <f>"Q"&amp;ROUNDUP(MONTH(tblBookings[[#This Row],[CheckIn]])/3,0)</f>
        <v>Q3</v>
      </c>
    </row>
    <row r="49" spans="1:14" x14ac:dyDescent="0.3">
      <c r="A49" s="5" t="s">
        <v>197</v>
      </c>
      <c r="B49" s="6">
        <v>202</v>
      </c>
      <c r="C49" s="6" t="s">
        <v>198</v>
      </c>
      <c r="D49" s="7" t="s">
        <v>196</v>
      </c>
      <c r="E49" s="7" t="s">
        <v>199</v>
      </c>
      <c r="F49" s="6">
        <v>2</v>
      </c>
      <c r="G49" s="6">
        <v>9892345109</v>
      </c>
      <c r="H49" s="6">
        <v>7497</v>
      </c>
      <c r="I49" s="8" t="s">
        <v>18</v>
      </c>
      <c r="J49" s="6">
        <f>tblBookings[[#This Row],[CheckOut]]-tblBookings[[#This Row],[CheckIn]]</f>
        <v>3</v>
      </c>
      <c r="K49" s="6">
        <f>YEAR(tblBookings[[#This Row],[CheckIn]])</f>
        <v>2026</v>
      </c>
      <c r="L49" s="14" t="str">
        <f>TEXT(tblBookings[[#This Row],[CheckIn]],"MMM")</f>
        <v>Sep</v>
      </c>
      <c r="M49" s="14">
        <f>MONTH(tblBookings[[#This Row],[CheckIn]])</f>
        <v>9</v>
      </c>
      <c r="N49" s="14" t="str">
        <f>"Q"&amp;ROUNDUP(MONTH(tblBookings[[#This Row],[CheckIn]])/3,0)</f>
        <v>Q3</v>
      </c>
    </row>
    <row r="50" spans="1:14" x14ac:dyDescent="0.3">
      <c r="A50" s="1" t="s">
        <v>200</v>
      </c>
      <c r="B50" s="2">
        <v>203</v>
      </c>
      <c r="C50" s="2" t="s">
        <v>201</v>
      </c>
      <c r="D50" s="3" t="s">
        <v>202</v>
      </c>
      <c r="E50" s="3" t="s">
        <v>203</v>
      </c>
      <c r="F50" s="2">
        <v>4</v>
      </c>
      <c r="G50" s="2">
        <v>9903456210</v>
      </c>
      <c r="H50" s="2">
        <v>7398</v>
      </c>
      <c r="I50" s="4" t="s">
        <v>13</v>
      </c>
      <c r="J50" s="6">
        <f>tblBookings[[#This Row],[CheckOut]]-tblBookings[[#This Row],[CheckIn]]</f>
        <v>2</v>
      </c>
      <c r="K50" s="6">
        <f>YEAR(tblBookings[[#This Row],[CheckIn]])</f>
        <v>2026</v>
      </c>
      <c r="L50" s="14" t="str">
        <f>TEXT(tblBookings[[#This Row],[CheckIn]],"MMM")</f>
        <v>Sep</v>
      </c>
      <c r="M50" s="14">
        <f>MONTH(tblBookings[[#This Row],[CheckIn]])</f>
        <v>9</v>
      </c>
      <c r="N50" s="14" t="str">
        <f>"Q"&amp;ROUNDUP(MONTH(tblBookings[[#This Row],[CheckIn]])/3,0)</f>
        <v>Q3</v>
      </c>
    </row>
    <row r="51" spans="1:14" x14ac:dyDescent="0.3">
      <c r="A51" s="5" t="s">
        <v>204</v>
      </c>
      <c r="B51" s="6">
        <v>206</v>
      </c>
      <c r="C51" s="6" t="s">
        <v>205</v>
      </c>
      <c r="D51" s="7" t="s">
        <v>206</v>
      </c>
      <c r="E51" s="7" t="s">
        <v>207</v>
      </c>
      <c r="F51" s="6">
        <v>3</v>
      </c>
      <c r="G51" s="6">
        <v>9014567321</v>
      </c>
      <c r="H51" s="6">
        <v>23996</v>
      </c>
      <c r="I51" s="8" t="s">
        <v>13</v>
      </c>
      <c r="J51" s="6">
        <f>tblBookings[[#This Row],[CheckOut]]-tblBookings[[#This Row],[CheckIn]]</f>
        <v>4</v>
      </c>
      <c r="K51" s="6">
        <f>YEAR(tblBookings[[#This Row],[CheckIn]])</f>
        <v>2026</v>
      </c>
      <c r="L51" s="14" t="str">
        <f>TEXT(tblBookings[[#This Row],[CheckIn]],"MMM")</f>
        <v>Sep</v>
      </c>
      <c r="M51" s="14">
        <f>MONTH(tblBookings[[#This Row],[CheckIn]])</f>
        <v>9</v>
      </c>
      <c r="N51" s="14" t="str">
        <f>"Q"&amp;ROUNDUP(MONTH(tblBookings[[#This Row],[CheckIn]])/3,0)</f>
        <v>Q3</v>
      </c>
    </row>
    <row r="52" spans="1:14" x14ac:dyDescent="0.3">
      <c r="A52" s="1" t="s">
        <v>208</v>
      </c>
      <c r="B52" s="2">
        <v>205</v>
      </c>
      <c r="C52" s="2" t="s">
        <v>209</v>
      </c>
      <c r="D52" s="3" t="s">
        <v>210</v>
      </c>
      <c r="E52" s="3" t="s">
        <v>211</v>
      </c>
      <c r="F52" s="2">
        <v>2</v>
      </c>
      <c r="G52" s="2">
        <v>9123457811</v>
      </c>
      <c r="H52" s="2">
        <v>6597</v>
      </c>
      <c r="I52" s="4" t="s">
        <v>13</v>
      </c>
      <c r="J52" s="6">
        <f>tblBookings[[#This Row],[CheckOut]]-tblBookings[[#This Row],[CheckIn]]</f>
        <v>3</v>
      </c>
      <c r="K52" s="6">
        <f>YEAR(tblBookings[[#This Row],[CheckIn]])</f>
        <v>2026</v>
      </c>
      <c r="L52" s="14" t="str">
        <f>TEXT(tblBookings[[#This Row],[CheckIn]],"MMM")</f>
        <v>Sep</v>
      </c>
      <c r="M52" s="14">
        <f>MONTH(tblBookings[[#This Row],[CheckIn]])</f>
        <v>9</v>
      </c>
      <c r="N52" s="14" t="str">
        <f>"Q"&amp;ROUNDUP(MONTH(tblBookings[[#This Row],[CheckIn]])/3,0)</f>
        <v>Q3</v>
      </c>
    </row>
    <row r="53" spans="1:14" x14ac:dyDescent="0.3">
      <c r="A53" s="5" t="s">
        <v>212</v>
      </c>
      <c r="B53" s="6">
        <v>201</v>
      </c>
      <c r="C53" s="6" t="s">
        <v>213</v>
      </c>
      <c r="D53" s="7" t="s">
        <v>214</v>
      </c>
      <c r="E53" s="7" t="s">
        <v>215</v>
      </c>
      <c r="F53" s="6">
        <v>2</v>
      </c>
      <c r="G53" s="6">
        <v>9234568922</v>
      </c>
      <c r="H53" s="6">
        <v>8697</v>
      </c>
      <c r="I53" s="8" t="s">
        <v>18</v>
      </c>
      <c r="J53" s="6">
        <f>tblBookings[[#This Row],[CheckOut]]-tblBookings[[#This Row],[CheckIn]]</f>
        <v>3</v>
      </c>
      <c r="K53" s="6">
        <f>YEAR(tblBookings[[#This Row],[CheckIn]])</f>
        <v>2026</v>
      </c>
      <c r="L53" s="14" t="str">
        <f>TEXT(tblBookings[[#This Row],[CheckIn]],"MMM")</f>
        <v>Sep</v>
      </c>
      <c r="M53" s="14">
        <f>MONTH(tblBookings[[#This Row],[CheckIn]])</f>
        <v>9</v>
      </c>
      <c r="N53" s="14" t="str">
        <f>"Q"&amp;ROUNDUP(MONTH(tblBookings[[#This Row],[CheckIn]])/3,0)</f>
        <v>Q3</v>
      </c>
    </row>
    <row r="54" spans="1:14" x14ac:dyDescent="0.3">
      <c r="A54" s="1" t="s">
        <v>216</v>
      </c>
      <c r="B54" s="2">
        <v>204</v>
      </c>
      <c r="C54" s="2" t="s">
        <v>217</v>
      </c>
      <c r="D54" s="3" t="s">
        <v>218</v>
      </c>
      <c r="E54" s="3" t="s">
        <v>219</v>
      </c>
      <c r="F54" s="2">
        <v>2</v>
      </c>
      <c r="G54" s="2">
        <v>9345679033</v>
      </c>
      <c r="H54" s="2">
        <v>12597</v>
      </c>
      <c r="I54" s="4" t="s">
        <v>13</v>
      </c>
      <c r="J54" s="6">
        <f>tblBookings[[#This Row],[CheckOut]]-tblBookings[[#This Row],[CheckIn]]</f>
        <v>3</v>
      </c>
      <c r="K54" s="6">
        <f>YEAR(tblBookings[[#This Row],[CheckIn]])</f>
        <v>2026</v>
      </c>
      <c r="L54" s="14" t="str">
        <f>TEXT(tblBookings[[#This Row],[CheckIn]],"MMM")</f>
        <v>Oct</v>
      </c>
      <c r="M54" s="14">
        <f>MONTH(tblBookings[[#This Row],[CheckIn]])</f>
        <v>10</v>
      </c>
      <c r="N54" s="14" t="str">
        <f>"Q"&amp;ROUNDUP(MONTH(tblBookings[[#This Row],[CheckIn]])/3,0)</f>
        <v>Q4</v>
      </c>
    </row>
    <row r="55" spans="1:14" x14ac:dyDescent="0.3">
      <c r="A55" s="5" t="s">
        <v>220</v>
      </c>
      <c r="B55" s="6">
        <v>202</v>
      </c>
      <c r="C55" s="6" t="s">
        <v>221</v>
      </c>
      <c r="D55" s="7" t="s">
        <v>222</v>
      </c>
      <c r="E55" s="7" t="s">
        <v>223</v>
      </c>
      <c r="F55" s="6">
        <v>2</v>
      </c>
      <c r="G55" s="6">
        <v>9456780144</v>
      </c>
      <c r="H55" s="6">
        <v>7497</v>
      </c>
      <c r="I55" s="8" t="s">
        <v>13</v>
      </c>
      <c r="J55" s="6">
        <f>tblBookings[[#This Row],[CheckOut]]-tblBookings[[#This Row],[CheckIn]]</f>
        <v>3</v>
      </c>
      <c r="K55" s="6">
        <f>YEAR(tblBookings[[#This Row],[CheckIn]])</f>
        <v>2026</v>
      </c>
      <c r="L55" s="14" t="str">
        <f>TEXT(tblBookings[[#This Row],[CheckIn]],"MMM")</f>
        <v>Oct</v>
      </c>
      <c r="M55" s="14">
        <f>MONTH(tblBookings[[#This Row],[CheckIn]])</f>
        <v>10</v>
      </c>
      <c r="N55" s="14" t="str">
        <f>"Q"&amp;ROUNDUP(MONTH(tblBookings[[#This Row],[CheckIn]])/3,0)</f>
        <v>Q4</v>
      </c>
    </row>
    <row r="56" spans="1:14" x14ac:dyDescent="0.3">
      <c r="A56" s="1" t="s">
        <v>224</v>
      </c>
      <c r="B56" s="2">
        <v>203</v>
      </c>
      <c r="C56" s="2" t="s">
        <v>225</v>
      </c>
      <c r="D56" s="3" t="s">
        <v>226</v>
      </c>
      <c r="E56" s="3" t="s">
        <v>227</v>
      </c>
      <c r="F56" s="2">
        <v>4</v>
      </c>
      <c r="G56" s="2">
        <v>9567891255</v>
      </c>
      <c r="H56" s="2">
        <v>14796</v>
      </c>
      <c r="I56" s="4" t="s">
        <v>18</v>
      </c>
      <c r="J56" s="6">
        <f>tblBookings[[#This Row],[CheckOut]]-tblBookings[[#This Row],[CheckIn]]</f>
        <v>4</v>
      </c>
      <c r="K56" s="6">
        <f>YEAR(tblBookings[[#This Row],[CheckIn]])</f>
        <v>2026</v>
      </c>
      <c r="L56" s="14" t="str">
        <f>TEXT(tblBookings[[#This Row],[CheckIn]],"MMM")</f>
        <v>Oct</v>
      </c>
      <c r="M56" s="14">
        <f>MONTH(tblBookings[[#This Row],[CheckIn]])</f>
        <v>10</v>
      </c>
      <c r="N56" s="14" t="str">
        <f>"Q"&amp;ROUNDUP(MONTH(tblBookings[[#This Row],[CheckIn]])/3,0)</f>
        <v>Q4</v>
      </c>
    </row>
    <row r="57" spans="1:14" x14ac:dyDescent="0.3">
      <c r="A57" s="5" t="s">
        <v>228</v>
      </c>
      <c r="B57" s="6">
        <v>206</v>
      </c>
      <c r="C57" s="6" t="s">
        <v>229</v>
      </c>
      <c r="D57" s="7" t="s">
        <v>230</v>
      </c>
      <c r="E57" s="7" t="s">
        <v>231</v>
      </c>
      <c r="F57" s="6">
        <v>3</v>
      </c>
      <c r="G57" s="6">
        <v>9678902366</v>
      </c>
      <c r="H57" s="6">
        <v>17997</v>
      </c>
      <c r="I57" s="8" t="s">
        <v>13</v>
      </c>
      <c r="J57" s="6">
        <f>tblBookings[[#This Row],[CheckOut]]-tblBookings[[#This Row],[CheckIn]]</f>
        <v>3</v>
      </c>
      <c r="K57" s="6">
        <f>YEAR(tblBookings[[#This Row],[CheckIn]])</f>
        <v>2026</v>
      </c>
      <c r="L57" s="14" t="str">
        <f>TEXT(tblBookings[[#This Row],[CheckIn]],"MMM")</f>
        <v>Oct</v>
      </c>
      <c r="M57" s="14">
        <f>MONTH(tblBookings[[#This Row],[CheckIn]])</f>
        <v>10</v>
      </c>
      <c r="N57" s="14" t="str">
        <f>"Q"&amp;ROUNDUP(MONTH(tblBookings[[#This Row],[CheckIn]])/3,0)</f>
        <v>Q4</v>
      </c>
    </row>
    <row r="58" spans="1:14" x14ac:dyDescent="0.3">
      <c r="A58" s="1" t="s">
        <v>232</v>
      </c>
      <c r="B58" s="2">
        <v>205</v>
      </c>
      <c r="C58" s="2" t="s">
        <v>233</v>
      </c>
      <c r="D58" s="3" t="s">
        <v>234</v>
      </c>
      <c r="E58" s="3" t="s">
        <v>235</v>
      </c>
      <c r="F58" s="2">
        <v>2</v>
      </c>
      <c r="G58" s="2">
        <v>9789013477</v>
      </c>
      <c r="H58" s="2">
        <v>4398</v>
      </c>
      <c r="I58" s="4" t="s">
        <v>13</v>
      </c>
      <c r="J58" s="6">
        <f>tblBookings[[#This Row],[CheckOut]]-tblBookings[[#This Row],[CheckIn]]</f>
        <v>2</v>
      </c>
      <c r="K58" s="6">
        <f>YEAR(tblBookings[[#This Row],[CheckIn]])</f>
        <v>2026</v>
      </c>
      <c r="L58" s="14" t="str">
        <f>TEXT(tblBookings[[#This Row],[CheckIn]],"MMM")</f>
        <v>Oct</v>
      </c>
      <c r="M58" s="14">
        <f>MONTH(tblBookings[[#This Row],[CheckIn]])</f>
        <v>10</v>
      </c>
      <c r="N58" s="14" t="str">
        <f>"Q"&amp;ROUNDUP(MONTH(tblBookings[[#This Row],[CheckIn]])/3,0)</f>
        <v>Q4</v>
      </c>
    </row>
    <row r="59" spans="1:14" x14ac:dyDescent="0.3">
      <c r="A59" s="5" t="s">
        <v>236</v>
      </c>
      <c r="B59" s="6">
        <v>201</v>
      </c>
      <c r="C59" s="6" t="s">
        <v>205</v>
      </c>
      <c r="D59" s="7" t="s">
        <v>237</v>
      </c>
      <c r="E59" s="7" t="s">
        <v>238</v>
      </c>
      <c r="F59" s="6">
        <v>2</v>
      </c>
      <c r="G59" s="6">
        <v>9890124588</v>
      </c>
      <c r="H59" s="6">
        <v>11596</v>
      </c>
      <c r="I59" s="8" t="s">
        <v>18</v>
      </c>
      <c r="J59" s="6">
        <f>tblBookings[[#This Row],[CheckOut]]-tblBookings[[#This Row],[CheckIn]]</f>
        <v>4</v>
      </c>
      <c r="K59" s="6">
        <f>YEAR(tblBookings[[#This Row],[CheckIn]])</f>
        <v>2026</v>
      </c>
      <c r="L59" s="14" t="str">
        <f>TEXT(tblBookings[[#This Row],[CheckIn]],"MMM")</f>
        <v>Oct</v>
      </c>
      <c r="M59" s="14">
        <f>MONTH(tblBookings[[#This Row],[CheckIn]])</f>
        <v>10</v>
      </c>
      <c r="N59" s="14" t="str">
        <f>"Q"&amp;ROUNDUP(MONTH(tblBookings[[#This Row],[CheckIn]])/3,0)</f>
        <v>Q4</v>
      </c>
    </row>
    <row r="60" spans="1:14" x14ac:dyDescent="0.3">
      <c r="A60" s="1" t="s">
        <v>239</v>
      </c>
      <c r="B60" s="2">
        <v>204</v>
      </c>
      <c r="C60" s="2" t="s">
        <v>240</v>
      </c>
      <c r="D60" s="3" t="s">
        <v>241</v>
      </c>
      <c r="E60" s="3" t="s">
        <v>242</v>
      </c>
      <c r="F60" s="2">
        <v>2</v>
      </c>
      <c r="G60" s="2">
        <v>9901235699</v>
      </c>
      <c r="H60" s="2">
        <v>8398</v>
      </c>
      <c r="I60" s="4" t="s">
        <v>13</v>
      </c>
      <c r="J60" s="6">
        <f>tblBookings[[#This Row],[CheckOut]]-tblBookings[[#This Row],[CheckIn]]</f>
        <v>2</v>
      </c>
      <c r="K60" s="6">
        <f>YEAR(tblBookings[[#This Row],[CheckIn]])</f>
        <v>2026</v>
      </c>
      <c r="L60" s="14" t="str">
        <f>TEXT(tblBookings[[#This Row],[CheckIn]],"MMM")</f>
        <v>Nov</v>
      </c>
      <c r="M60" s="14">
        <f>MONTH(tblBookings[[#This Row],[CheckIn]])</f>
        <v>11</v>
      </c>
      <c r="N60" s="14" t="str">
        <f>"Q"&amp;ROUNDUP(MONTH(tblBookings[[#This Row],[CheckIn]])/3,0)</f>
        <v>Q4</v>
      </c>
    </row>
    <row r="61" spans="1:14" x14ac:dyDescent="0.3">
      <c r="A61" s="5" t="s">
        <v>243</v>
      </c>
      <c r="B61" s="6">
        <v>202</v>
      </c>
      <c r="C61" s="6" t="s">
        <v>244</v>
      </c>
      <c r="D61" s="7" t="s">
        <v>245</v>
      </c>
      <c r="E61" s="7" t="s">
        <v>246</v>
      </c>
      <c r="F61" s="6">
        <v>2</v>
      </c>
      <c r="G61" s="6">
        <v>9012346700</v>
      </c>
      <c r="H61" s="6">
        <v>9996</v>
      </c>
      <c r="I61" s="8" t="s">
        <v>18</v>
      </c>
      <c r="J61" s="6">
        <f>tblBookings[[#This Row],[CheckOut]]-tblBookings[[#This Row],[CheckIn]]</f>
        <v>4</v>
      </c>
      <c r="K61" s="6">
        <f>YEAR(tblBookings[[#This Row],[CheckIn]])</f>
        <v>2026</v>
      </c>
      <c r="L61" s="14" t="str">
        <f>TEXT(tblBookings[[#This Row],[CheckIn]],"MMM")</f>
        <v>Nov</v>
      </c>
      <c r="M61" s="14">
        <f>MONTH(tblBookings[[#This Row],[CheckIn]])</f>
        <v>11</v>
      </c>
      <c r="N61" s="14" t="str">
        <f>"Q"&amp;ROUNDUP(MONTH(tblBookings[[#This Row],[CheckIn]])/3,0)</f>
        <v>Q4</v>
      </c>
    </row>
    <row r="62" spans="1:14" x14ac:dyDescent="0.3">
      <c r="A62" s="1" t="s">
        <v>247</v>
      </c>
      <c r="B62" s="2">
        <v>203</v>
      </c>
      <c r="C62" s="2" t="s">
        <v>248</v>
      </c>
      <c r="D62" s="3" t="s">
        <v>249</v>
      </c>
      <c r="E62" s="3" t="s">
        <v>250</v>
      </c>
      <c r="F62" s="2">
        <v>4</v>
      </c>
      <c r="G62" s="2">
        <v>9123457811</v>
      </c>
      <c r="H62" s="2">
        <v>11097</v>
      </c>
      <c r="I62" s="4" t="s">
        <v>13</v>
      </c>
      <c r="J62" s="6">
        <f>tblBookings[[#This Row],[CheckOut]]-tblBookings[[#This Row],[CheckIn]]</f>
        <v>3</v>
      </c>
      <c r="K62" s="6">
        <f>YEAR(tblBookings[[#This Row],[CheckIn]])</f>
        <v>2026</v>
      </c>
      <c r="L62" s="14" t="str">
        <f>TEXT(tblBookings[[#This Row],[CheckIn]],"MMM")</f>
        <v>Nov</v>
      </c>
      <c r="M62" s="14">
        <f>MONTH(tblBookings[[#This Row],[CheckIn]])</f>
        <v>11</v>
      </c>
      <c r="N62" s="14" t="str">
        <f>"Q"&amp;ROUNDUP(MONTH(tblBookings[[#This Row],[CheckIn]])/3,0)</f>
        <v>Q4</v>
      </c>
    </row>
    <row r="63" spans="1:14" x14ac:dyDescent="0.3">
      <c r="A63" s="5" t="s">
        <v>251</v>
      </c>
      <c r="B63" s="6">
        <v>206</v>
      </c>
      <c r="C63" s="6" t="s">
        <v>252</v>
      </c>
      <c r="D63" s="7" t="s">
        <v>253</v>
      </c>
      <c r="E63" s="7" t="s">
        <v>254</v>
      </c>
      <c r="F63" s="6">
        <v>3</v>
      </c>
      <c r="G63" s="6">
        <v>9234568922</v>
      </c>
      <c r="H63" s="6">
        <v>29995</v>
      </c>
      <c r="I63" s="8" t="s">
        <v>13</v>
      </c>
      <c r="J63" s="6">
        <f>tblBookings[[#This Row],[CheckOut]]-tblBookings[[#This Row],[CheckIn]]</f>
        <v>5</v>
      </c>
      <c r="K63" s="6">
        <f>YEAR(tblBookings[[#This Row],[CheckIn]])</f>
        <v>2026</v>
      </c>
      <c r="L63" s="14" t="str">
        <f>TEXT(tblBookings[[#This Row],[CheckIn]],"MMM")</f>
        <v>Nov</v>
      </c>
      <c r="M63" s="14">
        <f>MONTH(tblBookings[[#This Row],[CheckIn]])</f>
        <v>11</v>
      </c>
      <c r="N63" s="14" t="str">
        <f>"Q"&amp;ROUNDUP(MONTH(tblBookings[[#This Row],[CheckIn]])/3,0)</f>
        <v>Q4</v>
      </c>
    </row>
    <row r="64" spans="1:14" x14ac:dyDescent="0.3">
      <c r="A64" s="1" t="s">
        <v>255</v>
      </c>
      <c r="B64" s="2">
        <v>205</v>
      </c>
      <c r="C64" s="2" t="s">
        <v>256</v>
      </c>
      <c r="D64" s="3" t="s">
        <v>254</v>
      </c>
      <c r="E64" s="3" t="s">
        <v>257</v>
      </c>
      <c r="F64" s="2">
        <v>2</v>
      </c>
      <c r="G64" s="2">
        <v>9345679033</v>
      </c>
      <c r="H64" s="2">
        <v>6597</v>
      </c>
      <c r="I64" s="4" t="s">
        <v>18</v>
      </c>
      <c r="J64" s="6">
        <f>tblBookings[[#This Row],[CheckOut]]-tblBookings[[#This Row],[CheckIn]]</f>
        <v>3</v>
      </c>
      <c r="K64" s="6">
        <f>YEAR(tblBookings[[#This Row],[CheckIn]])</f>
        <v>2026</v>
      </c>
      <c r="L64" s="14" t="str">
        <f>TEXT(tblBookings[[#This Row],[CheckIn]],"MMM")</f>
        <v>Nov</v>
      </c>
      <c r="M64" s="14">
        <f>MONTH(tblBookings[[#This Row],[CheckIn]])</f>
        <v>11</v>
      </c>
      <c r="N64" s="14" t="str">
        <f>"Q"&amp;ROUNDUP(MONTH(tblBookings[[#This Row],[CheckIn]])/3,0)</f>
        <v>Q4</v>
      </c>
    </row>
    <row r="65" spans="1:14" x14ac:dyDescent="0.3">
      <c r="A65" s="5" t="s">
        <v>258</v>
      </c>
      <c r="B65" s="6">
        <v>201</v>
      </c>
      <c r="C65" s="6" t="s">
        <v>259</v>
      </c>
      <c r="D65" s="7" t="s">
        <v>260</v>
      </c>
      <c r="E65" s="7" t="s">
        <v>261</v>
      </c>
      <c r="F65" s="6">
        <v>2</v>
      </c>
      <c r="G65" s="6">
        <v>9456780144</v>
      </c>
      <c r="H65" s="6">
        <v>5798</v>
      </c>
      <c r="I65" s="8" t="s">
        <v>13</v>
      </c>
      <c r="J65" s="6">
        <f>tblBookings[[#This Row],[CheckOut]]-tblBookings[[#This Row],[CheckIn]]</f>
        <v>2</v>
      </c>
      <c r="K65" s="6">
        <f>YEAR(tblBookings[[#This Row],[CheckIn]])</f>
        <v>2026</v>
      </c>
      <c r="L65" s="14" t="str">
        <f>TEXT(tblBookings[[#This Row],[CheckIn]],"MMM")</f>
        <v>Nov</v>
      </c>
      <c r="M65" s="14">
        <f>MONTH(tblBookings[[#This Row],[CheckIn]])</f>
        <v>11</v>
      </c>
      <c r="N65" s="14" t="str">
        <f>"Q"&amp;ROUNDUP(MONTH(tblBookings[[#This Row],[CheckIn]])/3,0)</f>
        <v>Q4</v>
      </c>
    </row>
    <row r="66" spans="1:14" x14ac:dyDescent="0.3">
      <c r="A66" s="1" t="s">
        <v>262</v>
      </c>
      <c r="B66" s="2">
        <v>204</v>
      </c>
      <c r="C66" s="2" t="s">
        <v>104</v>
      </c>
      <c r="D66" s="3" t="s">
        <v>263</v>
      </c>
      <c r="E66" s="3" t="s">
        <v>264</v>
      </c>
      <c r="F66" s="2">
        <v>2</v>
      </c>
      <c r="G66" s="2">
        <v>9567891255</v>
      </c>
      <c r="H66" s="2">
        <v>16796</v>
      </c>
      <c r="I66" s="4" t="s">
        <v>13</v>
      </c>
      <c r="J66" s="6">
        <f>tblBookings[[#This Row],[CheckOut]]-tblBookings[[#This Row],[CheckIn]]</f>
        <v>4</v>
      </c>
      <c r="K66" s="6">
        <f>YEAR(tblBookings[[#This Row],[CheckIn]])</f>
        <v>2026</v>
      </c>
      <c r="L66" s="14" t="str">
        <f>TEXT(tblBookings[[#This Row],[CheckIn]],"MMM")</f>
        <v>Dec</v>
      </c>
      <c r="M66" s="14">
        <f>MONTH(tblBookings[[#This Row],[CheckIn]])</f>
        <v>12</v>
      </c>
      <c r="N66" s="14" t="str">
        <f>"Q"&amp;ROUNDUP(MONTH(tblBookings[[#This Row],[CheckIn]])/3,0)</f>
        <v>Q4</v>
      </c>
    </row>
    <row r="67" spans="1:14" x14ac:dyDescent="0.3">
      <c r="A67" s="5" t="s">
        <v>265</v>
      </c>
      <c r="B67" s="6">
        <v>202</v>
      </c>
      <c r="C67" s="6" t="s">
        <v>266</v>
      </c>
      <c r="D67" s="7" t="s">
        <v>264</v>
      </c>
      <c r="E67" s="7" t="s">
        <v>267</v>
      </c>
      <c r="F67" s="6">
        <v>2</v>
      </c>
      <c r="G67" s="6">
        <v>9678902366</v>
      </c>
      <c r="H67" s="6">
        <v>7497</v>
      </c>
      <c r="I67" s="8" t="s">
        <v>18</v>
      </c>
      <c r="J67" s="6">
        <f>tblBookings[[#This Row],[CheckOut]]-tblBookings[[#This Row],[CheckIn]]</f>
        <v>3</v>
      </c>
      <c r="K67" s="6">
        <f>YEAR(tblBookings[[#This Row],[CheckIn]])</f>
        <v>2026</v>
      </c>
      <c r="L67" s="14" t="str">
        <f>TEXT(tblBookings[[#This Row],[CheckIn]],"MMM")</f>
        <v>Dec</v>
      </c>
      <c r="M67" s="14">
        <f>MONTH(tblBookings[[#This Row],[CheckIn]])</f>
        <v>12</v>
      </c>
      <c r="N67" s="14" t="str">
        <f>"Q"&amp;ROUNDUP(MONTH(tblBookings[[#This Row],[CheckIn]])/3,0)</f>
        <v>Q4</v>
      </c>
    </row>
    <row r="68" spans="1:14" x14ac:dyDescent="0.3">
      <c r="A68" s="1" t="s">
        <v>268</v>
      </c>
      <c r="B68" s="2">
        <v>203</v>
      </c>
      <c r="C68" s="2" t="s">
        <v>269</v>
      </c>
      <c r="D68" s="3" t="s">
        <v>270</v>
      </c>
      <c r="E68" s="3" t="s">
        <v>271</v>
      </c>
      <c r="F68" s="2">
        <v>3</v>
      </c>
      <c r="G68" s="2">
        <v>9789013477</v>
      </c>
      <c r="H68" s="2">
        <v>7398</v>
      </c>
      <c r="I68" s="4" t="s">
        <v>13</v>
      </c>
      <c r="J68" s="6">
        <f>tblBookings[[#This Row],[CheckOut]]-tblBookings[[#This Row],[CheckIn]]</f>
        <v>2</v>
      </c>
      <c r="K68" s="6">
        <f>YEAR(tblBookings[[#This Row],[CheckIn]])</f>
        <v>2026</v>
      </c>
      <c r="L68" s="14" t="str">
        <f>TEXT(tblBookings[[#This Row],[CheckIn]],"MMM")</f>
        <v>Dec</v>
      </c>
      <c r="M68" s="14">
        <f>MONTH(tblBookings[[#This Row],[CheckIn]])</f>
        <v>12</v>
      </c>
      <c r="N68" s="14" t="str">
        <f>"Q"&amp;ROUNDUP(MONTH(tblBookings[[#This Row],[CheckIn]])/3,0)</f>
        <v>Q4</v>
      </c>
    </row>
    <row r="69" spans="1:14" x14ac:dyDescent="0.3">
      <c r="A69" s="5" t="s">
        <v>272</v>
      </c>
      <c r="B69" s="6">
        <v>206</v>
      </c>
      <c r="C69" s="6" t="s">
        <v>273</v>
      </c>
      <c r="D69" s="7" t="s">
        <v>274</v>
      </c>
      <c r="E69" s="7" t="s">
        <v>275</v>
      </c>
      <c r="F69" s="6">
        <v>3</v>
      </c>
      <c r="G69" s="6">
        <v>9890124588</v>
      </c>
      <c r="H69" s="6">
        <v>17997</v>
      </c>
      <c r="I69" s="8" t="s">
        <v>13</v>
      </c>
      <c r="J69" s="6">
        <f>tblBookings[[#This Row],[CheckOut]]-tblBookings[[#This Row],[CheckIn]]</f>
        <v>3</v>
      </c>
      <c r="K69" s="6">
        <f>YEAR(tblBookings[[#This Row],[CheckIn]])</f>
        <v>2026</v>
      </c>
      <c r="L69" s="14" t="str">
        <f>TEXT(tblBookings[[#This Row],[CheckIn]],"MMM")</f>
        <v>Dec</v>
      </c>
      <c r="M69" s="14">
        <f>MONTH(tblBookings[[#This Row],[CheckIn]])</f>
        <v>12</v>
      </c>
      <c r="N69" s="14" t="str">
        <f>"Q"&amp;ROUNDUP(MONTH(tblBookings[[#This Row],[CheckIn]])/3,0)</f>
        <v>Q4</v>
      </c>
    </row>
    <row r="70" spans="1:14" x14ac:dyDescent="0.3">
      <c r="A70" s="1" t="s">
        <v>276</v>
      </c>
      <c r="B70" s="2">
        <v>205</v>
      </c>
      <c r="C70" s="2" t="s">
        <v>277</v>
      </c>
      <c r="D70" s="3" t="s">
        <v>278</v>
      </c>
      <c r="E70" s="3" t="s">
        <v>279</v>
      </c>
      <c r="F70" s="2">
        <v>2</v>
      </c>
      <c r="G70" s="2">
        <v>9901235699</v>
      </c>
      <c r="H70" s="2">
        <v>4398</v>
      </c>
      <c r="I70" s="4" t="s">
        <v>18</v>
      </c>
      <c r="J70" s="6">
        <f>tblBookings[[#This Row],[CheckOut]]-tblBookings[[#This Row],[CheckIn]]</f>
        <v>2</v>
      </c>
      <c r="K70" s="6">
        <f>YEAR(tblBookings[[#This Row],[CheckIn]])</f>
        <v>2026</v>
      </c>
      <c r="L70" s="14" t="str">
        <f>TEXT(tblBookings[[#This Row],[CheckIn]],"MMM")</f>
        <v>Dec</v>
      </c>
      <c r="M70" s="14">
        <f>MONTH(tblBookings[[#This Row],[CheckIn]])</f>
        <v>12</v>
      </c>
      <c r="N70" s="14" t="str">
        <f>"Q"&amp;ROUNDUP(MONTH(tblBookings[[#This Row],[CheckIn]])/3,0)</f>
        <v>Q4</v>
      </c>
    </row>
    <row r="71" spans="1:14" x14ac:dyDescent="0.3">
      <c r="A71" s="5" t="s">
        <v>280</v>
      </c>
      <c r="B71" s="6">
        <v>201</v>
      </c>
      <c r="C71" s="6" t="s">
        <v>281</v>
      </c>
      <c r="D71" s="7" t="s">
        <v>282</v>
      </c>
      <c r="E71" s="7" t="s">
        <v>283</v>
      </c>
      <c r="F71" s="6">
        <v>2</v>
      </c>
      <c r="G71" s="6">
        <v>9012346700</v>
      </c>
      <c r="H71" s="6">
        <v>11596</v>
      </c>
      <c r="I71" s="8" t="s">
        <v>13</v>
      </c>
      <c r="J71" s="6">
        <f>tblBookings[[#This Row],[CheckOut]]-tblBookings[[#This Row],[CheckIn]]</f>
        <v>4</v>
      </c>
      <c r="K71" s="6">
        <f>YEAR(tblBookings[[#This Row],[CheckIn]])</f>
        <v>2026</v>
      </c>
      <c r="L71" s="14" t="str">
        <f>TEXT(tblBookings[[#This Row],[CheckIn]],"MMM")</f>
        <v>Dec</v>
      </c>
      <c r="M71" s="14">
        <f>MONTH(tblBookings[[#This Row],[CheckIn]])</f>
        <v>12</v>
      </c>
      <c r="N71" s="14" t="str">
        <f>"Q"&amp;ROUNDUP(MONTH(tblBookings[[#This Row],[CheckIn]])/3,0)</f>
        <v>Q4</v>
      </c>
    </row>
    <row r="72" spans="1:14" x14ac:dyDescent="0.3">
      <c r="A72" s="1" t="s">
        <v>284</v>
      </c>
      <c r="B72" s="2">
        <v>204</v>
      </c>
      <c r="C72" s="2" t="s">
        <v>285</v>
      </c>
      <c r="D72" s="3" t="s">
        <v>286</v>
      </c>
      <c r="E72" s="3" t="s">
        <v>287</v>
      </c>
      <c r="F72" s="2">
        <v>2</v>
      </c>
      <c r="G72" s="2">
        <v>9123457811</v>
      </c>
      <c r="H72" s="2">
        <v>12597</v>
      </c>
      <c r="I72" s="4" t="s">
        <v>13</v>
      </c>
      <c r="J72" s="6">
        <f>tblBookings[[#This Row],[CheckOut]]-tblBookings[[#This Row],[CheckIn]]</f>
        <v>3</v>
      </c>
      <c r="K72" s="6">
        <f>YEAR(tblBookings[[#This Row],[CheckIn]])</f>
        <v>2027</v>
      </c>
      <c r="L72" s="14" t="str">
        <f>TEXT(tblBookings[[#This Row],[CheckIn]],"MMM")</f>
        <v>Jan</v>
      </c>
      <c r="M72" s="14">
        <f>MONTH(tblBookings[[#This Row],[CheckIn]])</f>
        <v>1</v>
      </c>
      <c r="N72" s="14" t="str">
        <f>"Q"&amp;ROUNDUP(MONTH(tblBookings[[#This Row],[CheckIn]])/3,0)</f>
        <v>Q1</v>
      </c>
    </row>
    <row r="73" spans="1:14" x14ac:dyDescent="0.3">
      <c r="A73" s="5" t="s">
        <v>288</v>
      </c>
      <c r="B73" s="6">
        <v>202</v>
      </c>
      <c r="C73" s="6" t="s">
        <v>289</v>
      </c>
      <c r="D73" s="7" t="s">
        <v>290</v>
      </c>
      <c r="E73" s="7" t="s">
        <v>291</v>
      </c>
      <c r="F73" s="6">
        <v>2</v>
      </c>
      <c r="G73" s="6">
        <v>9234568922</v>
      </c>
      <c r="H73" s="6">
        <v>7497</v>
      </c>
      <c r="I73" s="8" t="s">
        <v>18</v>
      </c>
      <c r="J73" s="6">
        <f>tblBookings[[#This Row],[CheckOut]]-tblBookings[[#This Row],[CheckIn]]</f>
        <v>3</v>
      </c>
      <c r="K73" s="6">
        <f>YEAR(tblBookings[[#This Row],[CheckIn]])</f>
        <v>2027</v>
      </c>
      <c r="L73" s="14" t="str">
        <f>TEXT(tblBookings[[#This Row],[CheckIn]],"MMM")</f>
        <v>Jan</v>
      </c>
      <c r="M73" s="14">
        <f>MONTH(tblBookings[[#This Row],[CheckIn]])</f>
        <v>1</v>
      </c>
      <c r="N73" s="14" t="str">
        <f>"Q"&amp;ROUNDUP(MONTH(tblBookings[[#This Row],[CheckIn]])/3,0)</f>
        <v>Q1</v>
      </c>
    </row>
    <row r="74" spans="1:14" x14ac:dyDescent="0.3">
      <c r="A74" s="1" t="s">
        <v>292</v>
      </c>
      <c r="B74" s="2">
        <v>203</v>
      </c>
      <c r="C74" s="2" t="s">
        <v>293</v>
      </c>
      <c r="D74" s="3" t="s">
        <v>294</v>
      </c>
      <c r="E74" s="3" t="s">
        <v>295</v>
      </c>
      <c r="F74" s="2">
        <v>4</v>
      </c>
      <c r="G74" s="2">
        <v>9345679033</v>
      </c>
      <c r="H74" s="2">
        <v>11097</v>
      </c>
      <c r="I74" s="4" t="s">
        <v>13</v>
      </c>
      <c r="J74" s="6">
        <f>tblBookings[[#This Row],[CheckOut]]-tblBookings[[#This Row],[CheckIn]]</f>
        <v>3</v>
      </c>
      <c r="K74" s="6">
        <f>YEAR(tblBookings[[#This Row],[CheckIn]])</f>
        <v>2027</v>
      </c>
      <c r="L74" s="14" t="str">
        <f>TEXT(tblBookings[[#This Row],[CheckIn]],"MMM")</f>
        <v>Jan</v>
      </c>
      <c r="M74" s="14">
        <f>MONTH(tblBookings[[#This Row],[CheckIn]])</f>
        <v>1</v>
      </c>
      <c r="N74" s="14" t="str">
        <f>"Q"&amp;ROUNDUP(MONTH(tblBookings[[#This Row],[CheckIn]])/3,0)</f>
        <v>Q1</v>
      </c>
    </row>
    <row r="75" spans="1:14" x14ac:dyDescent="0.3">
      <c r="A75" s="5" t="s">
        <v>296</v>
      </c>
      <c r="B75" s="6">
        <v>206</v>
      </c>
      <c r="C75" s="6" t="s">
        <v>182</v>
      </c>
      <c r="D75" s="7" t="s">
        <v>297</v>
      </c>
      <c r="E75" s="7" t="s">
        <v>298</v>
      </c>
      <c r="F75" s="6">
        <v>2</v>
      </c>
      <c r="G75" s="6">
        <v>9456780144</v>
      </c>
      <c r="H75" s="6">
        <v>11998</v>
      </c>
      <c r="I75" s="8" t="s">
        <v>18</v>
      </c>
      <c r="J75" s="6">
        <f>tblBookings[[#This Row],[CheckOut]]-tblBookings[[#This Row],[CheckIn]]</f>
        <v>2</v>
      </c>
      <c r="K75" s="6">
        <f>YEAR(tblBookings[[#This Row],[CheckIn]])</f>
        <v>2027</v>
      </c>
      <c r="L75" s="14" t="str">
        <f>TEXT(tblBookings[[#This Row],[CheckIn]],"MMM")</f>
        <v>Jan</v>
      </c>
      <c r="M75" s="14">
        <f>MONTH(tblBookings[[#This Row],[CheckIn]])</f>
        <v>1</v>
      </c>
      <c r="N75" s="14" t="str">
        <f>"Q"&amp;ROUNDUP(MONTH(tblBookings[[#This Row],[CheckIn]])/3,0)</f>
        <v>Q1</v>
      </c>
    </row>
    <row r="76" spans="1:14" x14ac:dyDescent="0.3">
      <c r="A76" s="1" t="s">
        <v>299</v>
      </c>
      <c r="B76" s="2">
        <v>205</v>
      </c>
      <c r="C76" s="2" t="s">
        <v>300</v>
      </c>
      <c r="D76" s="3" t="s">
        <v>301</v>
      </c>
      <c r="E76" s="3" t="s">
        <v>302</v>
      </c>
      <c r="F76" s="2">
        <v>2</v>
      </c>
      <c r="G76" s="2">
        <v>9567891255</v>
      </c>
      <c r="H76" s="2">
        <v>6597</v>
      </c>
      <c r="I76" s="4" t="s">
        <v>13</v>
      </c>
      <c r="J76" s="6">
        <f>tblBookings[[#This Row],[CheckOut]]-tblBookings[[#This Row],[CheckIn]]</f>
        <v>3</v>
      </c>
      <c r="K76" s="6">
        <f>YEAR(tblBookings[[#This Row],[CheckIn]])</f>
        <v>2027</v>
      </c>
      <c r="L76" s="14" t="str">
        <f>TEXT(tblBookings[[#This Row],[CheckIn]],"MMM")</f>
        <v>Jan</v>
      </c>
      <c r="M76" s="14">
        <f>MONTH(tblBookings[[#This Row],[CheckIn]])</f>
        <v>1</v>
      </c>
      <c r="N76" s="14" t="str">
        <f>"Q"&amp;ROUNDUP(MONTH(tblBookings[[#This Row],[CheckIn]])/3,0)</f>
        <v>Q1</v>
      </c>
    </row>
    <row r="77" spans="1:14" x14ac:dyDescent="0.3">
      <c r="A77" s="5" t="s">
        <v>303</v>
      </c>
      <c r="B77" s="6">
        <v>201</v>
      </c>
      <c r="C77" s="6" t="s">
        <v>304</v>
      </c>
      <c r="D77" s="7" t="s">
        <v>305</v>
      </c>
      <c r="E77" s="7" t="s">
        <v>306</v>
      </c>
      <c r="F77" s="6">
        <v>2</v>
      </c>
      <c r="G77" s="6">
        <v>9678902366</v>
      </c>
      <c r="H77" s="6">
        <v>5798</v>
      </c>
      <c r="I77" s="8" t="s">
        <v>13</v>
      </c>
      <c r="J77" s="6">
        <f>tblBookings[[#This Row],[CheckOut]]-tblBookings[[#This Row],[CheckIn]]</f>
        <v>2</v>
      </c>
      <c r="K77" s="6">
        <f>YEAR(tblBookings[[#This Row],[CheckIn]])</f>
        <v>2027</v>
      </c>
      <c r="L77" s="14" t="str">
        <f>TEXT(tblBookings[[#This Row],[CheckIn]],"MMM")</f>
        <v>Jan</v>
      </c>
      <c r="M77" s="14">
        <f>MONTH(tblBookings[[#This Row],[CheckIn]])</f>
        <v>1</v>
      </c>
      <c r="N77" s="14" t="str">
        <f>"Q"&amp;ROUNDUP(MONTH(tblBookings[[#This Row],[CheckIn]])/3,0)</f>
        <v>Q1</v>
      </c>
    </row>
    <row r="78" spans="1:14" x14ac:dyDescent="0.3">
      <c r="A78" s="1" t="s">
        <v>307</v>
      </c>
      <c r="B78" s="2">
        <v>204</v>
      </c>
      <c r="C78" s="2" t="s">
        <v>308</v>
      </c>
      <c r="D78" s="3" t="s">
        <v>309</v>
      </c>
      <c r="E78" s="3" t="s">
        <v>310</v>
      </c>
      <c r="F78" s="2">
        <v>2</v>
      </c>
      <c r="G78" s="2">
        <v>9789013477</v>
      </c>
      <c r="H78" s="2">
        <v>16796</v>
      </c>
      <c r="I78" s="4" t="s">
        <v>18</v>
      </c>
      <c r="J78" s="6">
        <f>tblBookings[[#This Row],[CheckOut]]-tblBookings[[#This Row],[CheckIn]]</f>
        <v>4</v>
      </c>
      <c r="K78" s="6">
        <f>YEAR(tblBookings[[#This Row],[CheckIn]])</f>
        <v>2027</v>
      </c>
      <c r="L78" s="14" t="str">
        <f>TEXT(tblBookings[[#This Row],[CheckIn]],"MMM")</f>
        <v>Feb</v>
      </c>
      <c r="M78" s="14">
        <f>MONTH(tblBookings[[#This Row],[CheckIn]])</f>
        <v>2</v>
      </c>
      <c r="N78" s="14" t="str">
        <f>"Q"&amp;ROUNDUP(MONTH(tblBookings[[#This Row],[CheckIn]])/3,0)</f>
        <v>Q1</v>
      </c>
    </row>
    <row r="79" spans="1:14" x14ac:dyDescent="0.3">
      <c r="A79" s="5" t="s">
        <v>311</v>
      </c>
      <c r="B79" s="6">
        <v>202</v>
      </c>
      <c r="C79" s="6" t="s">
        <v>312</v>
      </c>
      <c r="D79" s="7" t="s">
        <v>310</v>
      </c>
      <c r="E79" s="7" t="s">
        <v>313</v>
      </c>
      <c r="F79" s="6">
        <v>2</v>
      </c>
      <c r="G79" s="6">
        <v>9890124588</v>
      </c>
      <c r="H79" s="6">
        <v>9996</v>
      </c>
      <c r="I79" s="8" t="s">
        <v>13</v>
      </c>
      <c r="J79" s="6">
        <f>tblBookings[[#This Row],[CheckOut]]-tblBookings[[#This Row],[CheckIn]]</f>
        <v>4</v>
      </c>
      <c r="K79" s="6">
        <f>YEAR(tblBookings[[#This Row],[CheckIn]])</f>
        <v>2027</v>
      </c>
      <c r="L79" s="14" t="str">
        <f>TEXT(tblBookings[[#This Row],[CheckIn]],"MMM")</f>
        <v>Feb</v>
      </c>
      <c r="M79" s="14">
        <f>MONTH(tblBookings[[#This Row],[CheckIn]])</f>
        <v>2</v>
      </c>
      <c r="N79" s="14" t="str">
        <f>"Q"&amp;ROUNDUP(MONTH(tblBookings[[#This Row],[CheckIn]])/3,0)</f>
        <v>Q1</v>
      </c>
    </row>
    <row r="80" spans="1:14" x14ac:dyDescent="0.3">
      <c r="A80" s="1" t="s">
        <v>314</v>
      </c>
      <c r="B80" s="2">
        <v>203</v>
      </c>
      <c r="C80" s="2" t="s">
        <v>315</v>
      </c>
      <c r="D80" s="3" t="s">
        <v>316</v>
      </c>
      <c r="E80" s="3" t="s">
        <v>317</v>
      </c>
      <c r="F80" s="2">
        <v>4</v>
      </c>
      <c r="G80" s="2">
        <v>9901235699</v>
      </c>
      <c r="H80" s="2">
        <v>14796</v>
      </c>
      <c r="I80" s="4" t="s">
        <v>13</v>
      </c>
      <c r="J80" s="6">
        <f>tblBookings[[#This Row],[CheckOut]]-tblBookings[[#This Row],[CheckIn]]</f>
        <v>4</v>
      </c>
      <c r="K80" s="6">
        <f>YEAR(tblBookings[[#This Row],[CheckIn]])</f>
        <v>2027</v>
      </c>
      <c r="L80" s="14" t="str">
        <f>TEXT(tblBookings[[#This Row],[CheckIn]],"MMM")</f>
        <v>Feb</v>
      </c>
      <c r="M80" s="14">
        <f>MONTH(tblBookings[[#This Row],[CheckIn]])</f>
        <v>2</v>
      </c>
      <c r="N80" s="14" t="str">
        <f>"Q"&amp;ROUNDUP(MONTH(tblBookings[[#This Row],[CheckIn]])/3,0)</f>
        <v>Q1</v>
      </c>
    </row>
    <row r="81" spans="1:14" x14ac:dyDescent="0.3">
      <c r="A81" s="5" t="s">
        <v>318</v>
      </c>
      <c r="B81" s="6">
        <v>206</v>
      </c>
      <c r="C81" s="6" t="s">
        <v>319</v>
      </c>
      <c r="D81" s="7" t="s">
        <v>320</v>
      </c>
      <c r="E81" s="7" t="s">
        <v>321</v>
      </c>
      <c r="F81" s="6">
        <v>3</v>
      </c>
      <c r="G81" s="6">
        <v>9012346700</v>
      </c>
      <c r="H81" s="6">
        <v>17997</v>
      </c>
      <c r="I81" s="8" t="s">
        <v>18</v>
      </c>
      <c r="J81" s="6">
        <f>tblBookings[[#This Row],[CheckOut]]-tblBookings[[#This Row],[CheckIn]]</f>
        <v>3</v>
      </c>
      <c r="K81" s="6">
        <f>YEAR(tblBookings[[#This Row],[CheckIn]])</f>
        <v>2027</v>
      </c>
      <c r="L81" s="14" t="str">
        <f>TEXT(tblBookings[[#This Row],[CheckIn]],"MMM")</f>
        <v>Feb</v>
      </c>
      <c r="M81" s="14">
        <f>MONTH(tblBookings[[#This Row],[CheckIn]])</f>
        <v>2</v>
      </c>
      <c r="N81" s="14" t="str">
        <f>"Q"&amp;ROUNDUP(MONTH(tblBookings[[#This Row],[CheckIn]])/3,0)</f>
        <v>Q1</v>
      </c>
    </row>
    <row r="82" spans="1:14" x14ac:dyDescent="0.3">
      <c r="A82" s="1" t="s">
        <v>322</v>
      </c>
      <c r="B82" s="2">
        <v>205</v>
      </c>
      <c r="C82" s="2" t="s">
        <v>323</v>
      </c>
      <c r="D82" s="3" t="s">
        <v>324</v>
      </c>
      <c r="E82" s="3" t="s">
        <v>325</v>
      </c>
      <c r="F82" s="2">
        <v>2</v>
      </c>
      <c r="G82" s="2">
        <v>9123457811</v>
      </c>
      <c r="H82" s="2">
        <v>4398</v>
      </c>
      <c r="I82" s="4" t="s">
        <v>13</v>
      </c>
      <c r="J82" s="6">
        <f>tblBookings[[#This Row],[CheckOut]]-tblBookings[[#This Row],[CheckIn]]</f>
        <v>2</v>
      </c>
      <c r="K82" s="6">
        <f>YEAR(tblBookings[[#This Row],[CheckIn]])</f>
        <v>2027</v>
      </c>
      <c r="L82" s="14" t="str">
        <f>TEXT(tblBookings[[#This Row],[CheckIn]],"MMM")</f>
        <v>Feb</v>
      </c>
      <c r="M82" s="14">
        <f>MONTH(tblBookings[[#This Row],[CheckIn]])</f>
        <v>2</v>
      </c>
      <c r="N82" s="14" t="str">
        <f>"Q"&amp;ROUNDUP(MONTH(tblBookings[[#This Row],[CheckIn]])/3,0)</f>
        <v>Q1</v>
      </c>
    </row>
    <row r="83" spans="1:14" x14ac:dyDescent="0.3">
      <c r="A83" s="5" t="s">
        <v>326</v>
      </c>
      <c r="B83" s="6">
        <v>201</v>
      </c>
      <c r="C83" s="6" t="s">
        <v>327</v>
      </c>
      <c r="D83" s="7" t="s">
        <v>328</v>
      </c>
      <c r="E83" s="7" t="s">
        <v>329</v>
      </c>
      <c r="F83" s="6">
        <v>2</v>
      </c>
      <c r="G83" s="6">
        <v>9234568922</v>
      </c>
      <c r="H83" s="6">
        <v>8697</v>
      </c>
      <c r="I83" s="8" t="s">
        <v>18</v>
      </c>
      <c r="J83" s="6">
        <f>tblBookings[[#This Row],[CheckOut]]-tblBookings[[#This Row],[CheckIn]]</f>
        <v>3</v>
      </c>
      <c r="K83" s="6">
        <f>YEAR(tblBookings[[#This Row],[CheckIn]])</f>
        <v>2027</v>
      </c>
      <c r="L83" s="14" t="str">
        <f>TEXT(tblBookings[[#This Row],[CheckIn]],"MMM")</f>
        <v>Feb</v>
      </c>
      <c r="M83" s="14">
        <f>MONTH(tblBookings[[#This Row],[CheckIn]])</f>
        <v>2</v>
      </c>
      <c r="N83" s="14" t="str">
        <f>"Q"&amp;ROUNDUP(MONTH(tblBookings[[#This Row],[CheckIn]])/3,0)</f>
        <v>Q1</v>
      </c>
    </row>
    <row r="84" spans="1:14" x14ac:dyDescent="0.3">
      <c r="A84" s="1" t="s">
        <v>330</v>
      </c>
      <c r="B84" s="2">
        <v>204</v>
      </c>
      <c r="C84" s="2" t="s">
        <v>331</v>
      </c>
      <c r="D84" s="3" t="s">
        <v>332</v>
      </c>
      <c r="E84" s="3" t="s">
        <v>333</v>
      </c>
      <c r="F84" s="2">
        <v>2</v>
      </c>
      <c r="G84" s="2">
        <v>9345679033</v>
      </c>
      <c r="H84" s="2">
        <v>12597</v>
      </c>
      <c r="I84" s="4" t="s">
        <v>13</v>
      </c>
      <c r="J84" s="6">
        <f>tblBookings[[#This Row],[CheckOut]]-tblBookings[[#This Row],[CheckIn]]</f>
        <v>3</v>
      </c>
      <c r="K84" s="6">
        <f>YEAR(tblBookings[[#This Row],[CheckIn]])</f>
        <v>2027</v>
      </c>
      <c r="L84" s="14" t="str">
        <f>TEXT(tblBookings[[#This Row],[CheckIn]],"MMM")</f>
        <v>Mar</v>
      </c>
      <c r="M84" s="14">
        <f>MONTH(tblBookings[[#This Row],[CheckIn]])</f>
        <v>3</v>
      </c>
      <c r="N84" s="14" t="str">
        <f>"Q"&amp;ROUNDUP(MONTH(tblBookings[[#This Row],[CheckIn]])/3,0)</f>
        <v>Q1</v>
      </c>
    </row>
    <row r="85" spans="1:14" x14ac:dyDescent="0.3">
      <c r="A85" s="5" t="s">
        <v>334</v>
      </c>
      <c r="B85" s="6">
        <v>202</v>
      </c>
      <c r="C85" s="6" t="s">
        <v>80</v>
      </c>
      <c r="D85" s="7" t="s">
        <v>335</v>
      </c>
      <c r="E85" s="7" t="s">
        <v>336</v>
      </c>
      <c r="F85" s="6">
        <v>2</v>
      </c>
      <c r="G85" s="6">
        <v>9456780144</v>
      </c>
      <c r="H85" s="6">
        <v>7497</v>
      </c>
      <c r="I85" s="8" t="s">
        <v>13</v>
      </c>
      <c r="J85" s="6">
        <f>tblBookings[[#This Row],[CheckOut]]-tblBookings[[#This Row],[CheckIn]]</f>
        <v>3</v>
      </c>
      <c r="K85" s="6">
        <f>YEAR(tblBookings[[#This Row],[CheckIn]])</f>
        <v>2027</v>
      </c>
      <c r="L85" s="14" t="str">
        <f>TEXT(tblBookings[[#This Row],[CheckIn]],"MMM")</f>
        <v>Mar</v>
      </c>
      <c r="M85" s="14">
        <f>MONTH(tblBookings[[#This Row],[CheckIn]])</f>
        <v>3</v>
      </c>
      <c r="N85" s="14" t="str">
        <f>"Q"&amp;ROUNDUP(MONTH(tblBookings[[#This Row],[CheckIn]])/3,0)</f>
        <v>Q1</v>
      </c>
    </row>
    <row r="86" spans="1:14" x14ac:dyDescent="0.3">
      <c r="A86" s="1" t="s">
        <v>337</v>
      </c>
      <c r="B86" s="2">
        <v>203</v>
      </c>
      <c r="C86" s="2" t="s">
        <v>338</v>
      </c>
      <c r="D86" s="3" t="s">
        <v>339</v>
      </c>
      <c r="E86" s="3" t="s">
        <v>340</v>
      </c>
      <c r="F86" s="2">
        <v>4</v>
      </c>
      <c r="G86" s="2">
        <v>9567891255</v>
      </c>
      <c r="H86" s="2">
        <v>11097</v>
      </c>
      <c r="I86" s="4" t="s">
        <v>18</v>
      </c>
      <c r="J86" s="6">
        <f>tblBookings[[#This Row],[CheckOut]]-tblBookings[[#This Row],[CheckIn]]</f>
        <v>3</v>
      </c>
      <c r="K86" s="6">
        <f>YEAR(tblBookings[[#This Row],[CheckIn]])</f>
        <v>2027</v>
      </c>
      <c r="L86" s="14" t="str">
        <f>TEXT(tblBookings[[#This Row],[CheckIn]],"MMM")</f>
        <v>Mar</v>
      </c>
      <c r="M86" s="14">
        <f>MONTH(tblBookings[[#This Row],[CheckIn]])</f>
        <v>3</v>
      </c>
      <c r="N86" s="14" t="str">
        <f>"Q"&amp;ROUNDUP(MONTH(tblBookings[[#This Row],[CheckIn]])/3,0)</f>
        <v>Q1</v>
      </c>
    </row>
    <row r="87" spans="1:14" x14ac:dyDescent="0.3">
      <c r="A87" s="5" t="s">
        <v>341</v>
      </c>
      <c r="B87" s="6">
        <v>206</v>
      </c>
      <c r="C87" s="6" t="s">
        <v>342</v>
      </c>
      <c r="D87" s="7" t="s">
        <v>343</v>
      </c>
      <c r="E87" s="7" t="s">
        <v>344</v>
      </c>
      <c r="F87" s="6">
        <v>3</v>
      </c>
      <c r="G87" s="6">
        <v>9678902366</v>
      </c>
      <c r="H87" s="6">
        <v>29995</v>
      </c>
      <c r="I87" s="8" t="s">
        <v>13</v>
      </c>
      <c r="J87" s="6">
        <f>tblBookings[[#This Row],[CheckOut]]-tblBookings[[#This Row],[CheckIn]]</f>
        <v>5</v>
      </c>
      <c r="K87" s="6">
        <f>YEAR(tblBookings[[#This Row],[CheckIn]])</f>
        <v>2027</v>
      </c>
      <c r="L87" s="14" t="str">
        <f>TEXT(tblBookings[[#This Row],[CheckIn]],"MMM")</f>
        <v>Mar</v>
      </c>
      <c r="M87" s="14">
        <f>MONTH(tblBookings[[#This Row],[CheckIn]])</f>
        <v>3</v>
      </c>
      <c r="N87" s="14" t="str">
        <f>"Q"&amp;ROUNDUP(MONTH(tblBookings[[#This Row],[CheckIn]])/3,0)</f>
        <v>Q1</v>
      </c>
    </row>
    <row r="88" spans="1:14" x14ac:dyDescent="0.3">
      <c r="A88" s="1" t="s">
        <v>345</v>
      </c>
      <c r="B88" s="2">
        <v>205</v>
      </c>
      <c r="C88" s="2" t="s">
        <v>108</v>
      </c>
      <c r="D88" s="3" t="s">
        <v>344</v>
      </c>
      <c r="E88" s="3" t="s">
        <v>346</v>
      </c>
      <c r="F88" s="2">
        <v>2</v>
      </c>
      <c r="G88" s="2">
        <v>9789013477</v>
      </c>
      <c r="H88" s="2">
        <v>4398</v>
      </c>
      <c r="I88" s="4" t="s">
        <v>13</v>
      </c>
      <c r="J88" s="6">
        <f>tblBookings[[#This Row],[CheckOut]]-tblBookings[[#This Row],[CheckIn]]</f>
        <v>2</v>
      </c>
      <c r="K88" s="6">
        <f>YEAR(tblBookings[[#This Row],[CheckIn]])</f>
        <v>2027</v>
      </c>
      <c r="L88" s="14" t="str">
        <f>TEXT(tblBookings[[#This Row],[CheckIn]],"MMM")</f>
        <v>Mar</v>
      </c>
      <c r="M88" s="14">
        <f>MONTH(tblBookings[[#This Row],[CheckIn]])</f>
        <v>3</v>
      </c>
      <c r="N88" s="14" t="str">
        <f>"Q"&amp;ROUNDUP(MONTH(tblBookings[[#This Row],[CheckIn]])/3,0)</f>
        <v>Q1</v>
      </c>
    </row>
    <row r="89" spans="1:14" x14ac:dyDescent="0.3">
      <c r="A89" s="5" t="s">
        <v>347</v>
      </c>
      <c r="B89" s="6">
        <v>201</v>
      </c>
      <c r="C89" s="6" t="s">
        <v>348</v>
      </c>
      <c r="D89" s="7" t="s">
        <v>349</v>
      </c>
      <c r="E89" s="7" t="s">
        <v>350</v>
      </c>
      <c r="F89" s="6">
        <v>2</v>
      </c>
      <c r="G89" s="6">
        <v>9890124588</v>
      </c>
      <c r="H89" s="6">
        <v>11596</v>
      </c>
      <c r="I89" s="8" t="s">
        <v>18</v>
      </c>
      <c r="J89" s="6">
        <f>tblBookings[[#This Row],[CheckOut]]-tblBookings[[#This Row],[CheckIn]]</f>
        <v>4</v>
      </c>
      <c r="K89" s="6">
        <f>YEAR(tblBookings[[#This Row],[CheckIn]])</f>
        <v>2027</v>
      </c>
      <c r="L89" s="14" t="str">
        <f>TEXT(tblBookings[[#This Row],[CheckIn]],"MMM")</f>
        <v>Mar</v>
      </c>
      <c r="M89" s="14">
        <f>MONTH(tblBookings[[#This Row],[CheckIn]])</f>
        <v>3</v>
      </c>
      <c r="N89" s="14" t="str">
        <f>"Q"&amp;ROUNDUP(MONTH(tblBookings[[#This Row],[CheckIn]])/3,0)</f>
        <v>Q1</v>
      </c>
    </row>
    <row r="90" spans="1:14" x14ac:dyDescent="0.3">
      <c r="A90" s="1" t="s">
        <v>351</v>
      </c>
      <c r="B90" s="2">
        <v>204</v>
      </c>
      <c r="C90" s="2" t="s">
        <v>352</v>
      </c>
      <c r="D90" s="3" t="s">
        <v>353</v>
      </c>
      <c r="E90" s="3" t="s">
        <v>354</v>
      </c>
      <c r="F90" s="2">
        <v>2</v>
      </c>
      <c r="G90" s="2">
        <v>9901235699</v>
      </c>
      <c r="H90" s="2">
        <v>8398</v>
      </c>
      <c r="I90" s="4" t="s">
        <v>13</v>
      </c>
      <c r="J90" s="6">
        <f>tblBookings[[#This Row],[CheckOut]]-tblBookings[[#This Row],[CheckIn]]</f>
        <v>2</v>
      </c>
      <c r="K90" s="6">
        <f>YEAR(tblBookings[[#This Row],[CheckIn]])</f>
        <v>2027</v>
      </c>
      <c r="L90" s="14" t="str">
        <f>TEXT(tblBookings[[#This Row],[CheckIn]],"MMM")</f>
        <v>Apr</v>
      </c>
      <c r="M90" s="14">
        <f>MONTH(tblBookings[[#This Row],[CheckIn]])</f>
        <v>4</v>
      </c>
      <c r="N90" s="14" t="str">
        <f>"Q"&amp;ROUNDUP(MONTH(tblBookings[[#This Row],[CheckIn]])/3,0)</f>
        <v>Q2</v>
      </c>
    </row>
    <row r="91" spans="1:14" x14ac:dyDescent="0.3">
      <c r="A91" s="5" t="s">
        <v>355</v>
      </c>
      <c r="B91" s="6">
        <v>202</v>
      </c>
      <c r="C91" s="6" t="s">
        <v>356</v>
      </c>
      <c r="D91" s="7" t="s">
        <v>357</v>
      </c>
      <c r="E91" s="7" t="s">
        <v>358</v>
      </c>
      <c r="F91" s="6">
        <v>2</v>
      </c>
      <c r="G91" s="6">
        <v>9012346700</v>
      </c>
      <c r="H91" s="6">
        <v>7497</v>
      </c>
      <c r="I91" s="8" t="s">
        <v>18</v>
      </c>
      <c r="J91" s="6">
        <f>tblBookings[[#This Row],[CheckOut]]-tblBookings[[#This Row],[CheckIn]]</f>
        <v>3</v>
      </c>
      <c r="K91" s="6">
        <f>YEAR(tblBookings[[#This Row],[CheckIn]])</f>
        <v>2027</v>
      </c>
      <c r="L91" s="14" t="str">
        <f>TEXT(tblBookings[[#This Row],[CheckIn]],"MMM")</f>
        <v>Apr</v>
      </c>
      <c r="M91" s="14">
        <f>MONTH(tblBookings[[#This Row],[CheckIn]])</f>
        <v>4</v>
      </c>
      <c r="N91" s="14" t="str">
        <f>"Q"&amp;ROUNDUP(MONTH(tblBookings[[#This Row],[CheckIn]])/3,0)</f>
        <v>Q2</v>
      </c>
    </row>
    <row r="92" spans="1:14" x14ac:dyDescent="0.3">
      <c r="A92" s="1" t="s">
        <v>359</v>
      </c>
      <c r="B92" s="2">
        <v>203</v>
      </c>
      <c r="C92" s="2" t="s">
        <v>360</v>
      </c>
      <c r="D92" s="3" t="s">
        <v>361</v>
      </c>
      <c r="E92" s="3" t="s">
        <v>362</v>
      </c>
      <c r="F92" s="2">
        <v>4</v>
      </c>
      <c r="G92" s="2">
        <v>9123457811</v>
      </c>
      <c r="H92" s="2">
        <v>14796</v>
      </c>
      <c r="I92" s="4" t="s">
        <v>13</v>
      </c>
      <c r="J92" s="6">
        <f>tblBookings[[#This Row],[CheckOut]]-tblBookings[[#This Row],[CheckIn]]</f>
        <v>4</v>
      </c>
      <c r="K92" s="6">
        <f>YEAR(tblBookings[[#This Row],[CheckIn]])</f>
        <v>2027</v>
      </c>
      <c r="L92" s="14" t="str">
        <f>TEXT(tblBookings[[#This Row],[CheckIn]],"MMM")</f>
        <v>Apr</v>
      </c>
      <c r="M92" s="14">
        <f>MONTH(tblBookings[[#This Row],[CheckIn]])</f>
        <v>4</v>
      </c>
      <c r="N92" s="14" t="str">
        <f>"Q"&amp;ROUNDUP(MONTH(tblBookings[[#This Row],[CheckIn]])/3,0)</f>
        <v>Q2</v>
      </c>
    </row>
    <row r="93" spans="1:14" x14ac:dyDescent="0.3">
      <c r="A93" s="5" t="s">
        <v>363</v>
      </c>
      <c r="B93" s="6">
        <v>206</v>
      </c>
      <c r="C93" s="6" t="s">
        <v>364</v>
      </c>
      <c r="D93" s="7" t="s">
        <v>365</v>
      </c>
      <c r="E93" s="7" t="s">
        <v>366</v>
      </c>
      <c r="F93" s="6">
        <v>3</v>
      </c>
      <c r="G93" s="6">
        <v>9234568922</v>
      </c>
      <c r="H93" s="6">
        <v>17997</v>
      </c>
      <c r="I93" s="8" t="s">
        <v>13</v>
      </c>
      <c r="J93" s="6">
        <f>tblBookings[[#This Row],[CheckOut]]-tblBookings[[#This Row],[CheckIn]]</f>
        <v>3</v>
      </c>
      <c r="K93" s="6">
        <f>YEAR(tblBookings[[#This Row],[CheckIn]])</f>
        <v>2027</v>
      </c>
      <c r="L93" s="14" t="str">
        <f>TEXT(tblBookings[[#This Row],[CheckIn]],"MMM")</f>
        <v>Apr</v>
      </c>
      <c r="M93" s="14">
        <f>MONTH(tblBookings[[#This Row],[CheckIn]])</f>
        <v>4</v>
      </c>
      <c r="N93" s="14" t="str">
        <f>"Q"&amp;ROUNDUP(MONTH(tblBookings[[#This Row],[CheckIn]])/3,0)</f>
        <v>Q2</v>
      </c>
    </row>
    <row r="94" spans="1:14" x14ac:dyDescent="0.3">
      <c r="A94" s="1" t="s">
        <v>367</v>
      </c>
      <c r="B94" s="2">
        <v>205</v>
      </c>
      <c r="C94" s="2" t="s">
        <v>368</v>
      </c>
      <c r="D94" s="3" t="s">
        <v>369</v>
      </c>
      <c r="E94" s="3" t="s">
        <v>370</v>
      </c>
      <c r="F94" s="2">
        <v>2</v>
      </c>
      <c r="G94" s="2">
        <v>9345679033</v>
      </c>
      <c r="H94" s="2">
        <v>6597</v>
      </c>
      <c r="I94" s="4" t="s">
        <v>18</v>
      </c>
      <c r="J94" s="6">
        <f>tblBookings[[#This Row],[CheckOut]]-tblBookings[[#This Row],[CheckIn]]</f>
        <v>3</v>
      </c>
      <c r="K94" s="6">
        <f>YEAR(tblBookings[[#This Row],[CheckIn]])</f>
        <v>2027</v>
      </c>
      <c r="L94" s="14" t="str">
        <f>TEXT(tblBookings[[#This Row],[CheckIn]],"MMM")</f>
        <v>Apr</v>
      </c>
      <c r="M94" s="14">
        <f>MONTH(tblBookings[[#This Row],[CheckIn]])</f>
        <v>4</v>
      </c>
      <c r="N94" s="14" t="str">
        <f>"Q"&amp;ROUNDUP(MONTH(tblBookings[[#This Row],[CheckIn]])/3,0)</f>
        <v>Q2</v>
      </c>
    </row>
    <row r="95" spans="1:14" x14ac:dyDescent="0.3">
      <c r="A95" s="5" t="s">
        <v>371</v>
      </c>
      <c r="B95" s="6">
        <v>201</v>
      </c>
      <c r="C95" s="6" t="s">
        <v>372</v>
      </c>
      <c r="D95" s="7" t="s">
        <v>373</v>
      </c>
      <c r="E95" s="7" t="s">
        <v>374</v>
      </c>
      <c r="F95" s="6">
        <v>2</v>
      </c>
      <c r="G95" s="6">
        <v>9456780144</v>
      </c>
      <c r="H95" s="6">
        <v>5798</v>
      </c>
      <c r="I95" s="8" t="s">
        <v>13</v>
      </c>
      <c r="J95" s="6">
        <f>tblBookings[[#This Row],[CheckOut]]-tblBookings[[#This Row],[CheckIn]]</f>
        <v>2</v>
      </c>
      <c r="K95" s="6">
        <f>YEAR(tblBookings[[#This Row],[CheckIn]])</f>
        <v>2027</v>
      </c>
      <c r="L95" s="14" t="str">
        <f>TEXT(tblBookings[[#This Row],[CheckIn]],"MMM")</f>
        <v>Apr</v>
      </c>
      <c r="M95" s="14">
        <f>MONTH(tblBookings[[#This Row],[CheckIn]])</f>
        <v>4</v>
      </c>
      <c r="N95" s="14" t="str">
        <f>"Q"&amp;ROUNDUP(MONTH(tblBookings[[#This Row],[CheckIn]])/3,0)</f>
        <v>Q2</v>
      </c>
    </row>
    <row r="96" spans="1:14" x14ac:dyDescent="0.3">
      <c r="A96" s="1" t="s">
        <v>375</v>
      </c>
      <c r="B96" s="2">
        <v>204</v>
      </c>
      <c r="C96" s="2" t="s">
        <v>376</v>
      </c>
      <c r="D96" s="3" t="s">
        <v>377</v>
      </c>
      <c r="E96" s="3" t="s">
        <v>378</v>
      </c>
      <c r="F96" s="2">
        <v>2</v>
      </c>
      <c r="G96" s="2">
        <v>9567891255</v>
      </c>
      <c r="H96" s="2">
        <v>16796</v>
      </c>
      <c r="I96" s="4" t="s">
        <v>13</v>
      </c>
      <c r="J96" s="6">
        <f>tblBookings[[#This Row],[CheckOut]]-tblBookings[[#This Row],[CheckIn]]</f>
        <v>4</v>
      </c>
      <c r="K96" s="6">
        <f>YEAR(tblBookings[[#This Row],[CheckIn]])</f>
        <v>2027</v>
      </c>
      <c r="L96" s="14" t="str">
        <f>TEXT(tblBookings[[#This Row],[CheckIn]],"MMM")</f>
        <v>May</v>
      </c>
      <c r="M96" s="14">
        <f>MONTH(tblBookings[[#This Row],[CheckIn]])</f>
        <v>5</v>
      </c>
      <c r="N96" s="14" t="str">
        <f>"Q"&amp;ROUNDUP(MONTH(tblBookings[[#This Row],[CheckIn]])/3,0)</f>
        <v>Q2</v>
      </c>
    </row>
    <row r="97" spans="1:14" x14ac:dyDescent="0.3">
      <c r="A97" s="5" t="s">
        <v>379</v>
      </c>
      <c r="B97" s="6">
        <v>202</v>
      </c>
      <c r="C97" s="6" t="s">
        <v>201</v>
      </c>
      <c r="D97" s="7" t="s">
        <v>378</v>
      </c>
      <c r="E97" s="7" t="s">
        <v>380</v>
      </c>
      <c r="F97" s="6">
        <v>2</v>
      </c>
      <c r="G97" s="6">
        <v>9678902366</v>
      </c>
      <c r="H97" s="6">
        <v>9996</v>
      </c>
      <c r="I97" s="8" t="s">
        <v>18</v>
      </c>
      <c r="J97" s="6">
        <f>tblBookings[[#This Row],[CheckOut]]-tblBookings[[#This Row],[CheckIn]]</f>
        <v>4</v>
      </c>
      <c r="K97" s="6">
        <f>YEAR(tblBookings[[#This Row],[CheckIn]])</f>
        <v>2027</v>
      </c>
      <c r="L97" s="14" t="str">
        <f>TEXT(tblBookings[[#This Row],[CheckIn]],"MMM")</f>
        <v>May</v>
      </c>
      <c r="M97" s="14">
        <f>MONTH(tblBookings[[#This Row],[CheckIn]])</f>
        <v>5</v>
      </c>
      <c r="N97" s="14" t="str">
        <f>"Q"&amp;ROUNDUP(MONTH(tblBookings[[#This Row],[CheckIn]])/3,0)</f>
        <v>Q2</v>
      </c>
    </row>
    <row r="98" spans="1:14" x14ac:dyDescent="0.3">
      <c r="A98" s="1" t="s">
        <v>381</v>
      </c>
      <c r="B98" s="2">
        <v>203</v>
      </c>
      <c r="C98" s="2" t="s">
        <v>382</v>
      </c>
      <c r="D98" s="3" t="s">
        <v>383</v>
      </c>
      <c r="E98" s="3" t="s">
        <v>384</v>
      </c>
      <c r="F98" s="2">
        <v>4</v>
      </c>
      <c r="G98" s="2">
        <v>9789013477</v>
      </c>
      <c r="H98" s="2">
        <v>7398</v>
      </c>
      <c r="I98" s="4" t="s">
        <v>13</v>
      </c>
      <c r="J98" s="6">
        <f>tblBookings[[#This Row],[CheckOut]]-tblBookings[[#This Row],[CheckIn]]</f>
        <v>2</v>
      </c>
      <c r="K98" s="6">
        <f>YEAR(tblBookings[[#This Row],[CheckIn]])</f>
        <v>2027</v>
      </c>
      <c r="L98" s="14" t="str">
        <f>TEXT(tblBookings[[#This Row],[CheckIn]],"MMM")</f>
        <v>May</v>
      </c>
      <c r="M98" s="14">
        <f>MONTH(tblBookings[[#This Row],[CheckIn]])</f>
        <v>5</v>
      </c>
      <c r="N98" s="14" t="str">
        <f>"Q"&amp;ROUNDUP(MONTH(tblBookings[[#This Row],[CheckIn]])/3,0)</f>
        <v>Q2</v>
      </c>
    </row>
    <row r="99" spans="1:14" x14ac:dyDescent="0.3">
      <c r="A99" s="5" t="s">
        <v>385</v>
      </c>
      <c r="B99" s="6">
        <v>206</v>
      </c>
      <c r="C99" s="6" t="s">
        <v>386</v>
      </c>
      <c r="D99" s="7" t="s">
        <v>387</v>
      </c>
      <c r="E99" s="7" t="s">
        <v>388</v>
      </c>
      <c r="F99" s="6">
        <v>3</v>
      </c>
      <c r="G99" s="6">
        <v>9890124588</v>
      </c>
      <c r="H99" s="6">
        <v>17997</v>
      </c>
      <c r="I99" s="8" t="s">
        <v>13</v>
      </c>
      <c r="J99" s="6">
        <f>tblBookings[[#This Row],[CheckOut]]-tblBookings[[#This Row],[CheckIn]]</f>
        <v>3</v>
      </c>
      <c r="K99" s="6">
        <f>YEAR(tblBookings[[#This Row],[CheckIn]])</f>
        <v>2027</v>
      </c>
      <c r="L99" s="14" t="str">
        <f>TEXT(tblBookings[[#This Row],[CheckIn]],"MMM")</f>
        <v>May</v>
      </c>
      <c r="M99" s="14">
        <f>MONTH(tblBookings[[#This Row],[CheckIn]])</f>
        <v>5</v>
      </c>
      <c r="N99" s="14" t="str">
        <f>"Q"&amp;ROUNDUP(MONTH(tblBookings[[#This Row],[CheckIn]])/3,0)</f>
        <v>Q2</v>
      </c>
    </row>
    <row r="100" spans="1:14" x14ac:dyDescent="0.3">
      <c r="A100" s="1" t="s">
        <v>389</v>
      </c>
      <c r="B100" s="2">
        <v>205</v>
      </c>
      <c r="C100" s="2" t="s">
        <v>390</v>
      </c>
      <c r="D100" s="3" t="s">
        <v>391</v>
      </c>
      <c r="E100" s="3" t="s">
        <v>392</v>
      </c>
      <c r="F100" s="2">
        <v>2</v>
      </c>
      <c r="G100" s="2">
        <v>9901235699</v>
      </c>
      <c r="H100" s="2">
        <v>4398</v>
      </c>
      <c r="I100" s="4" t="s">
        <v>18</v>
      </c>
      <c r="J100" s="6">
        <f>tblBookings[[#This Row],[CheckOut]]-tblBookings[[#This Row],[CheckIn]]</f>
        <v>2</v>
      </c>
      <c r="K100" s="6">
        <f>YEAR(tblBookings[[#This Row],[CheckIn]])</f>
        <v>2027</v>
      </c>
      <c r="L100" s="14" t="str">
        <f>TEXT(tblBookings[[#This Row],[CheckIn]],"MMM")</f>
        <v>May</v>
      </c>
      <c r="M100" s="14">
        <f>MONTH(tblBookings[[#This Row],[CheckIn]])</f>
        <v>5</v>
      </c>
      <c r="N100" s="14" t="str">
        <f>"Q"&amp;ROUNDUP(MONTH(tblBookings[[#This Row],[CheckIn]])/3,0)</f>
        <v>Q2</v>
      </c>
    </row>
    <row r="101" spans="1:14" x14ac:dyDescent="0.3">
      <c r="A101" s="5" t="s">
        <v>393</v>
      </c>
      <c r="B101" s="6">
        <v>201</v>
      </c>
      <c r="C101" s="6" t="s">
        <v>394</v>
      </c>
      <c r="D101" s="7" t="s">
        <v>395</v>
      </c>
      <c r="E101" s="7" t="s">
        <v>396</v>
      </c>
      <c r="F101" s="6">
        <v>2</v>
      </c>
      <c r="G101" s="6">
        <v>9012346700</v>
      </c>
      <c r="H101" s="6">
        <v>11596</v>
      </c>
      <c r="I101" s="8" t="s">
        <v>13</v>
      </c>
      <c r="J101" s="6">
        <f>tblBookings[[#This Row],[CheckOut]]-tblBookings[[#This Row],[CheckIn]]</f>
        <v>4</v>
      </c>
      <c r="K101" s="6">
        <f>YEAR(tblBookings[[#This Row],[CheckIn]])</f>
        <v>2027</v>
      </c>
      <c r="L101" s="14" t="str">
        <f>TEXT(tblBookings[[#This Row],[CheckIn]],"MMM")</f>
        <v>May</v>
      </c>
      <c r="M101" s="14">
        <f>MONTH(tblBookings[[#This Row],[CheckIn]])</f>
        <v>5</v>
      </c>
      <c r="N101" s="14" t="str">
        <f>"Q"&amp;ROUNDUP(MONTH(tblBookings[[#This Row],[CheckIn]])/3,0)</f>
        <v>Q2</v>
      </c>
    </row>
    <row r="102" spans="1:14" x14ac:dyDescent="0.3">
      <c r="A102" s="1" t="s">
        <v>397</v>
      </c>
      <c r="B102" s="2">
        <v>204</v>
      </c>
      <c r="C102" s="2" t="s">
        <v>398</v>
      </c>
      <c r="D102" s="3" t="s">
        <v>399</v>
      </c>
      <c r="E102" s="3" t="s">
        <v>400</v>
      </c>
      <c r="F102" s="2">
        <v>2</v>
      </c>
      <c r="G102" s="2">
        <v>9123457001</v>
      </c>
      <c r="H102" s="2">
        <v>12597</v>
      </c>
      <c r="I102" s="4" t="s">
        <v>13</v>
      </c>
      <c r="J102" s="6">
        <f>tblBookings[[#This Row],[CheckOut]]-tblBookings[[#This Row],[CheckIn]]</f>
        <v>3</v>
      </c>
      <c r="K102" s="6">
        <f>YEAR(tblBookings[[#This Row],[CheckIn]])</f>
        <v>2027</v>
      </c>
      <c r="L102" s="14" t="str">
        <f>TEXT(tblBookings[[#This Row],[CheckIn]],"MMM")</f>
        <v>Jun</v>
      </c>
      <c r="M102" s="14">
        <f>MONTH(tblBookings[[#This Row],[CheckIn]])</f>
        <v>6</v>
      </c>
      <c r="N102" s="14" t="str">
        <f>"Q"&amp;ROUNDUP(MONTH(tblBookings[[#This Row],[CheckIn]])/3,0)</f>
        <v>Q2</v>
      </c>
    </row>
    <row r="103" spans="1:14" x14ac:dyDescent="0.3">
      <c r="A103" s="5" t="s">
        <v>401</v>
      </c>
      <c r="B103" s="6">
        <v>202</v>
      </c>
      <c r="C103" s="6" t="s">
        <v>402</v>
      </c>
      <c r="D103" s="7" t="s">
        <v>403</v>
      </c>
      <c r="E103" s="7" t="s">
        <v>404</v>
      </c>
      <c r="F103" s="6">
        <v>2</v>
      </c>
      <c r="G103" s="6">
        <v>9234568112</v>
      </c>
      <c r="H103" s="6">
        <v>7497</v>
      </c>
      <c r="I103" s="8" t="s">
        <v>18</v>
      </c>
      <c r="J103" s="6">
        <f>tblBookings[[#This Row],[CheckOut]]-tblBookings[[#This Row],[CheckIn]]</f>
        <v>3</v>
      </c>
      <c r="K103" s="6">
        <f>YEAR(tblBookings[[#This Row],[CheckIn]])</f>
        <v>2027</v>
      </c>
      <c r="L103" s="14" t="str">
        <f>TEXT(tblBookings[[#This Row],[CheckIn]],"MMM")</f>
        <v>Jun</v>
      </c>
      <c r="M103" s="14">
        <f>MONTH(tblBookings[[#This Row],[CheckIn]])</f>
        <v>6</v>
      </c>
      <c r="N103" s="14" t="str">
        <f>"Q"&amp;ROUNDUP(MONTH(tblBookings[[#This Row],[CheckIn]])/3,0)</f>
        <v>Q2</v>
      </c>
    </row>
    <row r="104" spans="1:14" x14ac:dyDescent="0.3">
      <c r="A104" s="1" t="s">
        <v>405</v>
      </c>
      <c r="B104" s="2">
        <v>203</v>
      </c>
      <c r="C104" s="2" t="s">
        <v>406</v>
      </c>
      <c r="D104" s="3" t="s">
        <v>407</v>
      </c>
      <c r="E104" s="3" t="s">
        <v>408</v>
      </c>
      <c r="F104" s="2">
        <v>4</v>
      </c>
      <c r="G104" s="2">
        <v>9345679223</v>
      </c>
      <c r="H104" s="2">
        <v>14796</v>
      </c>
      <c r="I104" s="4" t="s">
        <v>13</v>
      </c>
      <c r="J104" s="6">
        <f>tblBookings[[#This Row],[CheckOut]]-tblBookings[[#This Row],[CheckIn]]</f>
        <v>4</v>
      </c>
      <c r="K104" s="6">
        <f>YEAR(tblBookings[[#This Row],[CheckIn]])</f>
        <v>2027</v>
      </c>
      <c r="L104" s="14" t="str">
        <f>TEXT(tblBookings[[#This Row],[CheckIn]],"MMM")</f>
        <v>Jun</v>
      </c>
      <c r="M104" s="14">
        <f>MONTH(tblBookings[[#This Row],[CheckIn]])</f>
        <v>6</v>
      </c>
      <c r="N104" s="14" t="str">
        <f>"Q"&amp;ROUNDUP(MONTH(tblBookings[[#This Row],[CheckIn]])/3,0)</f>
        <v>Q2</v>
      </c>
    </row>
    <row r="105" spans="1:14" x14ac:dyDescent="0.3">
      <c r="A105" s="5" t="s">
        <v>409</v>
      </c>
      <c r="B105" s="6">
        <v>206</v>
      </c>
      <c r="C105" s="6" t="s">
        <v>410</v>
      </c>
      <c r="D105" s="7" t="s">
        <v>411</v>
      </c>
      <c r="E105" s="7" t="s">
        <v>412</v>
      </c>
      <c r="F105" s="6">
        <v>3</v>
      </c>
      <c r="G105" s="6">
        <v>9456780334</v>
      </c>
      <c r="H105" s="6">
        <v>17997</v>
      </c>
      <c r="I105" s="8" t="s">
        <v>13</v>
      </c>
      <c r="J105" s="6">
        <f>tblBookings[[#This Row],[CheckOut]]-tblBookings[[#This Row],[CheckIn]]</f>
        <v>3</v>
      </c>
      <c r="K105" s="6">
        <f>YEAR(tblBookings[[#This Row],[CheckIn]])</f>
        <v>2027</v>
      </c>
      <c r="L105" s="14" t="str">
        <f>TEXT(tblBookings[[#This Row],[CheckIn]],"MMM")</f>
        <v>Jun</v>
      </c>
      <c r="M105" s="14">
        <f>MONTH(tblBookings[[#This Row],[CheckIn]])</f>
        <v>6</v>
      </c>
      <c r="N105" s="14" t="str">
        <f>"Q"&amp;ROUNDUP(MONTH(tblBookings[[#This Row],[CheckIn]])/3,0)</f>
        <v>Q2</v>
      </c>
    </row>
    <row r="106" spans="1:14" x14ac:dyDescent="0.3">
      <c r="A106" s="1" t="s">
        <v>413</v>
      </c>
      <c r="B106" s="2">
        <v>205</v>
      </c>
      <c r="C106" s="2" t="s">
        <v>414</v>
      </c>
      <c r="D106" s="3" t="s">
        <v>415</v>
      </c>
      <c r="E106" s="3" t="s">
        <v>416</v>
      </c>
      <c r="F106" s="2">
        <v>2</v>
      </c>
      <c r="G106" s="2">
        <v>9567891445</v>
      </c>
      <c r="H106" s="2">
        <v>4398</v>
      </c>
      <c r="I106" s="4" t="s">
        <v>18</v>
      </c>
      <c r="J106" s="6">
        <f>tblBookings[[#This Row],[CheckOut]]-tblBookings[[#This Row],[CheckIn]]</f>
        <v>2</v>
      </c>
      <c r="K106" s="6">
        <f>YEAR(tblBookings[[#This Row],[CheckIn]])</f>
        <v>2027</v>
      </c>
      <c r="L106" s="14" t="str">
        <f>TEXT(tblBookings[[#This Row],[CheckIn]],"MMM")</f>
        <v>Jun</v>
      </c>
      <c r="M106" s="14">
        <f>MONTH(tblBookings[[#This Row],[CheckIn]])</f>
        <v>6</v>
      </c>
      <c r="N106" s="14" t="str">
        <f>"Q"&amp;ROUNDUP(MONTH(tblBookings[[#This Row],[CheckIn]])/3,0)</f>
        <v>Q2</v>
      </c>
    </row>
    <row r="107" spans="1:14" x14ac:dyDescent="0.3">
      <c r="A107" s="5" t="s">
        <v>417</v>
      </c>
      <c r="B107" s="6">
        <v>201</v>
      </c>
      <c r="C107" s="6" t="s">
        <v>205</v>
      </c>
      <c r="D107" s="7" t="s">
        <v>418</v>
      </c>
      <c r="E107" s="7" t="s">
        <v>419</v>
      </c>
      <c r="F107" s="6">
        <v>2</v>
      </c>
      <c r="G107" s="6">
        <v>9678902556</v>
      </c>
      <c r="H107" s="6">
        <v>11596</v>
      </c>
      <c r="I107" s="8" t="s">
        <v>13</v>
      </c>
      <c r="J107" s="6">
        <f>tblBookings[[#This Row],[CheckOut]]-tblBookings[[#This Row],[CheckIn]]</f>
        <v>4</v>
      </c>
      <c r="K107" s="6">
        <f>YEAR(tblBookings[[#This Row],[CheckIn]])</f>
        <v>2027</v>
      </c>
      <c r="L107" s="14" t="str">
        <f>TEXT(tblBookings[[#This Row],[CheckIn]],"MMM")</f>
        <v>Jun</v>
      </c>
      <c r="M107" s="14">
        <f>MONTH(tblBookings[[#This Row],[CheckIn]])</f>
        <v>6</v>
      </c>
      <c r="N107" s="14" t="str">
        <f>"Q"&amp;ROUNDUP(MONTH(tblBookings[[#This Row],[CheckIn]])/3,0)</f>
        <v>Q2</v>
      </c>
    </row>
    <row r="108" spans="1:14" x14ac:dyDescent="0.3">
      <c r="A108" s="1" t="s">
        <v>420</v>
      </c>
      <c r="B108" s="2">
        <v>204</v>
      </c>
      <c r="C108" s="2" t="s">
        <v>421</v>
      </c>
      <c r="D108" s="3" t="s">
        <v>422</v>
      </c>
      <c r="E108" s="3" t="s">
        <v>423</v>
      </c>
      <c r="F108" s="2">
        <v>2</v>
      </c>
      <c r="G108" s="2">
        <v>9789013667</v>
      </c>
      <c r="H108" s="2">
        <v>8398</v>
      </c>
      <c r="I108" s="4" t="s">
        <v>13</v>
      </c>
      <c r="J108" s="6">
        <f>tblBookings[[#This Row],[CheckOut]]-tblBookings[[#This Row],[CheckIn]]</f>
        <v>2</v>
      </c>
      <c r="K108" s="6">
        <f>YEAR(tblBookings[[#This Row],[CheckIn]])</f>
        <v>2027</v>
      </c>
      <c r="L108" s="14" t="str">
        <f>TEXT(tblBookings[[#This Row],[CheckIn]],"MMM")</f>
        <v>Jul</v>
      </c>
      <c r="M108" s="14">
        <f>MONTH(tblBookings[[#This Row],[CheckIn]])</f>
        <v>7</v>
      </c>
      <c r="N108" s="14" t="str">
        <f>"Q"&amp;ROUNDUP(MONTH(tblBookings[[#This Row],[CheckIn]])/3,0)</f>
        <v>Q3</v>
      </c>
    </row>
    <row r="109" spans="1:14" x14ac:dyDescent="0.3">
      <c r="A109" s="5" t="s">
        <v>424</v>
      </c>
      <c r="B109" s="6">
        <v>202</v>
      </c>
      <c r="C109" s="6" t="s">
        <v>425</v>
      </c>
      <c r="D109" s="7" t="s">
        <v>426</v>
      </c>
      <c r="E109" s="7" t="s">
        <v>427</v>
      </c>
      <c r="F109" s="6">
        <v>2</v>
      </c>
      <c r="G109" s="6">
        <v>9890124778</v>
      </c>
      <c r="H109" s="6">
        <v>9996</v>
      </c>
      <c r="I109" s="8" t="s">
        <v>18</v>
      </c>
      <c r="J109" s="6">
        <f>tblBookings[[#This Row],[CheckOut]]-tblBookings[[#This Row],[CheckIn]]</f>
        <v>4</v>
      </c>
      <c r="K109" s="6">
        <f>YEAR(tblBookings[[#This Row],[CheckIn]])</f>
        <v>2027</v>
      </c>
      <c r="L109" s="14" t="str">
        <f>TEXT(tblBookings[[#This Row],[CheckIn]],"MMM")</f>
        <v>Jul</v>
      </c>
      <c r="M109" s="14">
        <f>MONTH(tblBookings[[#This Row],[CheckIn]])</f>
        <v>7</v>
      </c>
      <c r="N109" s="14" t="str">
        <f>"Q"&amp;ROUNDUP(MONTH(tblBookings[[#This Row],[CheckIn]])/3,0)</f>
        <v>Q3</v>
      </c>
    </row>
    <row r="110" spans="1:14" x14ac:dyDescent="0.3">
      <c r="A110" s="1" t="s">
        <v>428</v>
      </c>
      <c r="B110" s="2">
        <v>203</v>
      </c>
      <c r="C110" s="2" t="s">
        <v>300</v>
      </c>
      <c r="D110" s="3" t="s">
        <v>429</v>
      </c>
      <c r="E110" s="3" t="s">
        <v>430</v>
      </c>
      <c r="F110" s="2">
        <v>4</v>
      </c>
      <c r="G110" s="2">
        <v>9901235889</v>
      </c>
      <c r="H110" s="2">
        <v>11097</v>
      </c>
      <c r="I110" s="4" t="s">
        <v>13</v>
      </c>
      <c r="J110" s="6">
        <f>tblBookings[[#This Row],[CheckOut]]-tblBookings[[#This Row],[CheckIn]]</f>
        <v>3</v>
      </c>
      <c r="K110" s="6">
        <f>YEAR(tblBookings[[#This Row],[CheckIn]])</f>
        <v>2027</v>
      </c>
      <c r="L110" s="14" t="str">
        <f>TEXT(tblBookings[[#This Row],[CheckIn]],"MMM")</f>
        <v>Jul</v>
      </c>
      <c r="M110" s="14">
        <f>MONTH(tblBookings[[#This Row],[CheckIn]])</f>
        <v>7</v>
      </c>
      <c r="N110" s="14" t="str">
        <f>"Q"&amp;ROUNDUP(MONTH(tblBookings[[#This Row],[CheckIn]])/3,0)</f>
        <v>Q3</v>
      </c>
    </row>
    <row r="111" spans="1:14" x14ac:dyDescent="0.3">
      <c r="A111" s="5" t="s">
        <v>431</v>
      </c>
      <c r="B111" s="6">
        <v>206</v>
      </c>
      <c r="C111" s="6" t="s">
        <v>100</v>
      </c>
      <c r="D111" s="7" t="s">
        <v>432</v>
      </c>
      <c r="E111" s="7" t="s">
        <v>433</v>
      </c>
      <c r="F111" s="6">
        <v>3</v>
      </c>
      <c r="G111" s="6">
        <v>9012346990</v>
      </c>
      <c r="H111" s="6">
        <v>29995</v>
      </c>
      <c r="I111" s="8" t="s">
        <v>13</v>
      </c>
      <c r="J111" s="6">
        <f>tblBookings[[#This Row],[CheckOut]]-tblBookings[[#This Row],[CheckIn]]</f>
        <v>5</v>
      </c>
      <c r="K111" s="6">
        <f>YEAR(tblBookings[[#This Row],[CheckIn]])</f>
        <v>2027</v>
      </c>
      <c r="L111" s="14" t="str">
        <f>TEXT(tblBookings[[#This Row],[CheckIn]],"MMM")</f>
        <v>Jul</v>
      </c>
      <c r="M111" s="14">
        <f>MONTH(tblBookings[[#This Row],[CheckIn]])</f>
        <v>7</v>
      </c>
      <c r="N111" s="14" t="str">
        <f>"Q"&amp;ROUNDUP(MONTH(tblBookings[[#This Row],[CheckIn]])/3,0)</f>
        <v>Q3</v>
      </c>
    </row>
    <row r="112" spans="1:14" x14ac:dyDescent="0.3">
      <c r="A112" s="1" t="s">
        <v>434</v>
      </c>
      <c r="B112" s="2">
        <v>205</v>
      </c>
      <c r="C112" s="2" t="s">
        <v>435</v>
      </c>
      <c r="D112" s="3" t="s">
        <v>433</v>
      </c>
      <c r="E112" s="3" t="s">
        <v>436</v>
      </c>
      <c r="F112" s="2">
        <v>2</v>
      </c>
      <c r="G112" s="2">
        <v>9123457001</v>
      </c>
      <c r="H112" s="2">
        <v>6597</v>
      </c>
      <c r="I112" s="4" t="s">
        <v>18</v>
      </c>
      <c r="J112" s="6">
        <f>tblBookings[[#This Row],[CheckOut]]-tblBookings[[#This Row],[CheckIn]]</f>
        <v>3</v>
      </c>
      <c r="K112" s="6">
        <f>YEAR(tblBookings[[#This Row],[CheckIn]])</f>
        <v>2027</v>
      </c>
      <c r="L112" s="14" t="str">
        <f>TEXT(tblBookings[[#This Row],[CheckIn]],"MMM")</f>
        <v>Jul</v>
      </c>
      <c r="M112" s="14">
        <f>MONTH(tblBookings[[#This Row],[CheckIn]])</f>
        <v>7</v>
      </c>
      <c r="N112" s="14" t="str">
        <f>"Q"&amp;ROUNDUP(MONTH(tblBookings[[#This Row],[CheckIn]])/3,0)</f>
        <v>Q3</v>
      </c>
    </row>
    <row r="113" spans="1:14" x14ac:dyDescent="0.3">
      <c r="A113" s="5" t="s">
        <v>437</v>
      </c>
      <c r="B113" s="6">
        <v>201</v>
      </c>
      <c r="C113" s="6" t="s">
        <v>438</v>
      </c>
      <c r="D113" s="7" t="s">
        <v>439</v>
      </c>
      <c r="E113" s="7" t="s">
        <v>440</v>
      </c>
      <c r="F113" s="6">
        <v>2</v>
      </c>
      <c r="G113" s="6">
        <v>9234568112</v>
      </c>
      <c r="H113" s="6">
        <v>5798</v>
      </c>
      <c r="I113" s="8" t="s">
        <v>13</v>
      </c>
      <c r="J113" s="6">
        <f>tblBookings[[#This Row],[CheckOut]]-tblBookings[[#This Row],[CheckIn]]</f>
        <v>2</v>
      </c>
      <c r="K113" s="6">
        <f>YEAR(tblBookings[[#This Row],[CheckIn]])</f>
        <v>2027</v>
      </c>
      <c r="L113" s="14" t="str">
        <f>TEXT(tblBookings[[#This Row],[CheckIn]],"MMM")</f>
        <v>Jul</v>
      </c>
      <c r="M113" s="14">
        <f>MONTH(tblBookings[[#This Row],[CheckIn]])</f>
        <v>7</v>
      </c>
      <c r="N113" s="14" t="str">
        <f>"Q"&amp;ROUNDUP(MONTH(tblBookings[[#This Row],[CheckIn]])/3,0)</f>
        <v>Q3</v>
      </c>
    </row>
    <row r="114" spans="1:14" x14ac:dyDescent="0.3">
      <c r="A114" s="1" t="s">
        <v>441</v>
      </c>
      <c r="B114" s="2">
        <v>204</v>
      </c>
      <c r="C114" s="2" t="s">
        <v>442</v>
      </c>
      <c r="D114" s="3" t="s">
        <v>443</v>
      </c>
      <c r="E114" s="3" t="s">
        <v>444</v>
      </c>
      <c r="F114" s="2">
        <v>2</v>
      </c>
      <c r="G114" s="2">
        <v>9345679223</v>
      </c>
      <c r="H114" s="2">
        <v>16796</v>
      </c>
      <c r="I114" s="4" t="s">
        <v>13</v>
      </c>
      <c r="J114" s="6">
        <f>tblBookings[[#This Row],[CheckOut]]-tblBookings[[#This Row],[CheckIn]]</f>
        <v>4</v>
      </c>
      <c r="K114" s="6">
        <f>YEAR(tblBookings[[#This Row],[CheckIn]])</f>
        <v>2027</v>
      </c>
      <c r="L114" s="14" t="str">
        <f>TEXT(tblBookings[[#This Row],[CheckIn]],"MMM")</f>
        <v>Aug</v>
      </c>
      <c r="M114" s="14">
        <f>MONTH(tblBookings[[#This Row],[CheckIn]])</f>
        <v>8</v>
      </c>
      <c r="N114" s="14" t="str">
        <f>"Q"&amp;ROUNDUP(MONTH(tblBookings[[#This Row],[CheckIn]])/3,0)</f>
        <v>Q3</v>
      </c>
    </row>
    <row r="115" spans="1:14" x14ac:dyDescent="0.3">
      <c r="A115" s="5" t="s">
        <v>445</v>
      </c>
      <c r="B115" s="6">
        <v>202</v>
      </c>
      <c r="C115" s="6" t="s">
        <v>446</v>
      </c>
      <c r="D115" s="7" t="s">
        <v>444</v>
      </c>
      <c r="E115" s="7" t="s">
        <v>447</v>
      </c>
      <c r="F115" s="6">
        <v>2</v>
      </c>
      <c r="G115" s="6">
        <v>9456780334</v>
      </c>
      <c r="H115" s="6">
        <v>7497</v>
      </c>
      <c r="I115" s="8" t="s">
        <v>18</v>
      </c>
      <c r="J115" s="6">
        <f>tblBookings[[#This Row],[CheckOut]]-tblBookings[[#This Row],[CheckIn]]</f>
        <v>3</v>
      </c>
      <c r="K115" s="6">
        <f>YEAR(tblBookings[[#This Row],[CheckIn]])</f>
        <v>2027</v>
      </c>
      <c r="L115" s="14" t="str">
        <f>TEXT(tblBookings[[#This Row],[CheckIn]],"MMM")</f>
        <v>Aug</v>
      </c>
      <c r="M115" s="14">
        <f>MONTH(tblBookings[[#This Row],[CheckIn]])</f>
        <v>8</v>
      </c>
      <c r="N115" s="14" t="str">
        <f>"Q"&amp;ROUNDUP(MONTH(tblBookings[[#This Row],[CheckIn]])/3,0)</f>
        <v>Q3</v>
      </c>
    </row>
    <row r="116" spans="1:14" x14ac:dyDescent="0.3">
      <c r="A116" s="1" t="s">
        <v>448</v>
      </c>
      <c r="B116" s="2">
        <v>203</v>
      </c>
      <c r="C116" s="2" t="s">
        <v>449</v>
      </c>
      <c r="D116" s="3" t="s">
        <v>450</v>
      </c>
      <c r="E116" s="3" t="s">
        <v>451</v>
      </c>
      <c r="F116" s="2">
        <v>3</v>
      </c>
      <c r="G116" s="2">
        <v>9567891445</v>
      </c>
      <c r="H116" s="2">
        <v>7398</v>
      </c>
      <c r="I116" s="4" t="s">
        <v>13</v>
      </c>
      <c r="J116" s="6">
        <f>tblBookings[[#This Row],[CheckOut]]-tblBookings[[#This Row],[CheckIn]]</f>
        <v>2</v>
      </c>
      <c r="K116" s="6">
        <f>YEAR(tblBookings[[#This Row],[CheckIn]])</f>
        <v>2027</v>
      </c>
      <c r="L116" s="14" t="str">
        <f>TEXT(tblBookings[[#This Row],[CheckIn]],"MMM")</f>
        <v>Aug</v>
      </c>
      <c r="M116" s="14">
        <f>MONTH(tblBookings[[#This Row],[CheckIn]])</f>
        <v>8</v>
      </c>
      <c r="N116" s="14" t="str">
        <f>"Q"&amp;ROUNDUP(MONTH(tblBookings[[#This Row],[CheckIn]])/3,0)</f>
        <v>Q3</v>
      </c>
    </row>
    <row r="117" spans="1:14" x14ac:dyDescent="0.3">
      <c r="A117" s="5" t="s">
        <v>452</v>
      </c>
      <c r="B117" s="6">
        <v>206</v>
      </c>
      <c r="C117" s="6" t="s">
        <v>453</v>
      </c>
      <c r="D117" s="7" t="s">
        <v>454</v>
      </c>
      <c r="E117" s="7" t="s">
        <v>455</v>
      </c>
      <c r="F117" s="6">
        <v>3</v>
      </c>
      <c r="G117" s="6">
        <v>9678902556</v>
      </c>
      <c r="H117" s="6">
        <v>17997</v>
      </c>
      <c r="I117" s="8" t="s">
        <v>13</v>
      </c>
      <c r="J117" s="6">
        <f>tblBookings[[#This Row],[CheckOut]]-tblBookings[[#This Row],[CheckIn]]</f>
        <v>3</v>
      </c>
      <c r="K117" s="6">
        <f>YEAR(tblBookings[[#This Row],[CheckIn]])</f>
        <v>2027</v>
      </c>
      <c r="L117" s="14" t="str">
        <f>TEXT(tblBookings[[#This Row],[CheckIn]],"MMM")</f>
        <v>Aug</v>
      </c>
      <c r="M117" s="14">
        <f>MONTH(tblBookings[[#This Row],[CheckIn]])</f>
        <v>8</v>
      </c>
      <c r="N117" s="14" t="str">
        <f>"Q"&amp;ROUNDUP(MONTH(tblBookings[[#This Row],[CheckIn]])/3,0)</f>
        <v>Q3</v>
      </c>
    </row>
    <row r="118" spans="1:14" x14ac:dyDescent="0.3">
      <c r="A118" s="1" t="s">
        <v>456</v>
      </c>
      <c r="B118" s="2">
        <v>205</v>
      </c>
      <c r="C118" s="2" t="s">
        <v>457</v>
      </c>
      <c r="D118" s="3" t="s">
        <v>458</v>
      </c>
      <c r="E118" s="3" t="s">
        <v>459</v>
      </c>
      <c r="F118" s="2">
        <v>2</v>
      </c>
      <c r="G118" s="2">
        <v>9789013667</v>
      </c>
      <c r="H118" s="2">
        <v>4398</v>
      </c>
      <c r="I118" s="4" t="s">
        <v>18</v>
      </c>
      <c r="J118" s="6">
        <f>tblBookings[[#This Row],[CheckOut]]-tblBookings[[#This Row],[CheckIn]]</f>
        <v>2</v>
      </c>
      <c r="K118" s="6">
        <f>YEAR(tblBookings[[#This Row],[CheckIn]])</f>
        <v>2027</v>
      </c>
      <c r="L118" s="14" t="str">
        <f>TEXT(tblBookings[[#This Row],[CheckIn]],"MMM")</f>
        <v>Aug</v>
      </c>
      <c r="M118" s="14">
        <f>MONTH(tblBookings[[#This Row],[CheckIn]])</f>
        <v>8</v>
      </c>
      <c r="N118" s="14" t="str">
        <f>"Q"&amp;ROUNDUP(MONTH(tblBookings[[#This Row],[CheckIn]])/3,0)</f>
        <v>Q3</v>
      </c>
    </row>
    <row r="119" spans="1:14" x14ac:dyDescent="0.3">
      <c r="A119" s="5" t="s">
        <v>460</v>
      </c>
      <c r="B119" s="6">
        <v>201</v>
      </c>
      <c r="C119" s="6" t="s">
        <v>174</v>
      </c>
      <c r="D119" s="7" t="s">
        <v>461</v>
      </c>
      <c r="E119" s="7" t="s">
        <v>462</v>
      </c>
      <c r="F119" s="6">
        <v>2</v>
      </c>
      <c r="G119" s="6">
        <v>9890124778</v>
      </c>
      <c r="H119" s="6">
        <v>11596</v>
      </c>
      <c r="I119" s="8" t="s">
        <v>13</v>
      </c>
      <c r="J119" s="6">
        <f>tblBookings[[#This Row],[CheckOut]]-tblBookings[[#This Row],[CheckIn]]</f>
        <v>4</v>
      </c>
      <c r="K119" s="6">
        <f>YEAR(tblBookings[[#This Row],[CheckIn]])</f>
        <v>2027</v>
      </c>
      <c r="L119" s="14" t="str">
        <f>TEXT(tblBookings[[#This Row],[CheckIn]],"MMM")</f>
        <v>Aug</v>
      </c>
      <c r="M119" s="14">
        <f>MONTH(tblBookings[[#This Row],[CheckIn]])</f>
        <v>8</v>
      </c>
      <c r="N119" s="14" t="str">
        <f>"Q"&amp;ROUNDUP(MONTH(tblBookings[[#This Row],[CheckIn]])/3,0)</f>
        <v>Q3</v>
      </c>
    </row>
    <row r="120" spans="1:14" x14ac:dyDescent="0.3">
      <c r="A120" s="1" t="s">
        <v>463</v>
      </c>
      <c r="B120" s="2">
        <v>204</v>
      </c>
      <c r="C120" s="2" t="s">
        <v>464</v>
      </c>
      <c r="D120" s="3" t="s">
        <v>465</v>
      </c>
      <c r="E120" s="3" t="s">
        <v>466</v>
      </c>
      <c r="F120" s="2">
        <v>2</v>
      </c>
      <c r="G120" s="2">
        <v>9901235889</v>
      </c>
      <c r="H120" s="2">
        <v>12597</v>
      </c>
      <c r="I120" s="4" t="s">
        <v>13</v>
      </c>
      <c r="J120" s="6">
        <f>tblBookings[[#This Row],[CheckOut]]-tblBookings[[#This Row],[CheckIn]]</f>
        <v>3</v>
      </c>
      <c r="K120" s="6">
        <f>YEAR(tblBookings[[#This Row],[CheckIn]])</f>
        <v>2027</v>
      </c>
      <c r="L120" s="14" t="str">
        <f>TEXT(tblBookings[[#This Row],[CheckIn]],"MMM")</f>
        <v>Sep</v>
      </c>
      <c r="M120" s="14">
        <f>MONTH(tblBookings[[#This Row],[CheckIn]])</f>
        <v>9</v>
      </c>
      <c r="N120" s="14" t="str">
        <f>"Q"&amp;ROUNDUP(MONTH(tblBookings[[#This Row],[CheckIn]])/3,0)</f>
        <v>Q3</v>
      </c>
    </row>
    <row r="121" spans="1:14" x14ac:dyDescent="0.3">
      <c r="A121" s="5" t="s">
        <v>467</v>
      </c>
      <c r="B121" s="6">
        <v>202</v>
      </c>
      <c r="C121" s="6" t="s">
        <v>158</v>
      </c>
      <c r="D121" s="7" t="s">
        <v>468</v>
      </c>
      <c r="E121" s="7" t="s">
        <v>469</v>
      </c>
      <c r="F121" s="6">
        <v>2</v>
      </c>
      <c r="G121" s="6">
        <v>9012346990</v>
      </c>
      <c r="H121" s="6">
        <v>7497</v>
      </c>
      <c r="I121" s="8" t="s">
        <v>18</v>
      </c>
      <c r="J121" s="6">
        <f>tblBookings[[#This Row],[CheckOut]]-tblBookings[[#This Row],[CheckIn]]</f>
        <v>3</v>
      </c>
      <c r="K121" s="6">
        <f>YEAR(tblBookings[[#This Row],[CheckIn]])</f>
        <v>2027</v>
      </c>
      <c r="L121" s="14" t="str">
        <f>TEXT(tblBookings[[#This Row],[CheckIn]],"MMM")</f>
        <v>Sep</v>
      </c>
      <c r="M121" s="14">
        <f>MONTH(tblBookings[[#This Row],[CheckIn]])</f>
        <v>9</v>
      </c>
      <c r="N121" s="14" t="str">
        <f>"Q"&amp;ROUNDUP(MONTH(tblBookings[[#This Row],[CheckIn]])/3,0)</f>
        <v>Q3</v>
      </c>
    </row>
    <row r="122" spans="1:14" x14ac:dyDescent="0.3">
      <c r="A122" s="1" t="s">
        <v>470</v>
      </c>
      <c r="B122" s="2">
        <v>203</v>
      </c>
      <c r="C122" s="2" t="s">
        <v>293</v>
      </c>
      <c r="D122" s="3" t="s">
        <v>471</v>
      </c>
      <c r="E122" s="3" t="s">
        <v>472</v>
      </c>
      <c r="F122" s="2">
        <v>4</v>
      </c>
      <c r="G122" s="2">
        <v>9123457001</v>
      </c>
      <c r="H122" s="2">
        <v>11097</v>
      </c>
      <c r="I122" s="4" t="s">
        <v>13</v>
      </c>
      <c r="J122" s="6">
        <f>tblBookings[[#This Row],[CheckOut]]-tblBookings[[#This Row],[CheckIn]]</f>
        <v>3</v>
      </c>
      <c r="K122" s="6">
        <f>YEAR(tblBookings[[#This Row],[CheckIn]])</f>
        <v>2027</v>
      </c>
      <c r="L122" s="14" t="str">
        <f>TEXT(tblBookings[[#This Row],[CheckIn]],"MMM")</f>
        <v>Sep</v>
      </c>
      <c r="M122" s="14">
        <f>MONTH(tblBookings[[#This Row],[CheckIn]])</f>
        <v>9</v>
      </c>
      <c r="N122" s="14" t="str">
        <f>"Q"&amp;ROUNDUP(MONTH(tblBookings[[#This Row],[CheckIn]])/3,0)</f>
        <v>Q3</v>
      </c>
    </row>
    <row r="123" spans="1:14" x14ac:dyDescent="0.3">
      <c r="A123" s="5" t="s">
        <v>473</v>
      </c>
      <c r="B123" s="6">
        <v>206</v>
      </c>
      <c r="C123" s="6" t="s">
        <v>474</v>
      </c>
      <c r="D123" s="7" t="s">
        <v>475</v>
      </c>
      <c r="E123" s="7" t="s">
        <v>476</v>
      </c>
      <c r="F123" s="6">
        <v>2</v>
      </c>
      <c r="G123" s="6">
        <v>9234568112</v>
      </c>
      <c r="H123" s="6">
        <v>11998</v>
      </c>
      <c r="I123" s="8" t="s">
        <v>18</v>
      </c>
      <c r="J123" s="6">
        <f>tblBookings[[#This Row],[CheckOut]]-tblBookings[[#This Row],[CheckIn]]</f>
        <v>2</v>
      </c>
      <c r="K123" s="6">
        <f>YEAR(tblBookings[[#This Row],[CheckIn]])</f>
        <v>2027</v>
      </c>
      <c r="L123" s="14" t="str">
        <f>TEXT(tblBookings[[#This Row],[CheckIn]],"MMM")</f>
        <v>Sep</v>
      </c>
      <c r="M123" s="14">
        <f>MONTH(tblBookings[[#This Row],[CheckIn]])</f>
        <v>9</v>
      </c>
      <c r="N123" s="14" t="str">
        <f>"Q"&amp;ROUNDUP(MONTH(tblBookings[[#This Row],[CheckIn]])/3,0)</f>
        <v>Q3</v>
      </c>
    </row>
    <row r="124" spans="1:14" x14ac:dyDescent="0.3">
      <c r="A124" s="1" t="s">
        <v>477</v>
      </c>
      <c r="B124" s="2">
        <v>205</v>
      </c>
      <c r="C124" s="2" t="s">
        <v>478</v>
      </c>
      <c r="D124" s="3" t="s">
        <v>479</v>
      </c>
      <c r="E124" s="3" t="s">
        <v>480</v>
      </c>
      <c r="F124" s="2">
        <v>2</v>
      </c>
      <c r="G124" s="2">
        <v>9345679223</v>
      </c>
      <c r="H124" s="2">
        <v>6597</v>
      </c>
      <c r="I124" s="4" t="s">
        <v>13</v>
      </c>
      <c r="J124" s="6">
        <f>tblBookings[[#This Row],[CheckOut]]-tblBookings[[#This Row],[CheckIn]]</f>
        <v>3</v>
      </c>
      <c r="K124" s="6">
        <f>YEAR(tblBookings[[#This Row],[CheckIn]])</f>
        <v>2027</v>
      </c>
      <c r="L124" s="14" t="str">
        <f>TEXT(tblBookings[[#This Row],[CheckIn]],"MMM")</f>
        <v>Sep</v>
      </c>
      <c r="M124" s="14">
        <f>MONTH(tblBookings[[#This Row],[CheckIn]])</f>
        <v>9</v>
      </c>
      <c r="N124" s="14" t="str">
        <f>"Q"&amp;ROUNDUP(MONTH(tblBookings[[#This Row],[CheckIn]])/3,0)</f>
        <v>Q3</v>
      </c>
    </row>
    <row r="125" spans="1:14" x14ac:dyDescent="0.3">
      <c r="A125" s="5" t="s">
        <v>481</v>
      </c>
      <c r="B125" s="6">
        <v>201</v>
      </c>
      <c r="C125" s="6" t="s">
        <v>482</v>
      </c>
      <c r="D125" s="7" t="s">
        <v>483</v>
      </c>
      <c r="E125" s="7" t="s">
        <v>484</v>
      </c>
      <c r="F125" s="6">
        <v>2</v>
      </c>
      <c r="G125" s="6">
        <v>9456780334</v>
      </c>
      <c r="H125" s="6">
        <v>5798</v>
      </c>
      <c r="I125" s="8" t="s">
        <v>13</v>
      </c>
      <c r="J125" s="6">
        <f>tblBookings[[#This Row],[CheckOut]]-tblBookings[[#This Row],[CheckIn]]</f>
        <v>2</v>
      </c>
      <c r="K125" s="6">
        <f>YEAR(tblBookings[[#This Row],[CheckIn]])</f>
        <v>2027</v>
      </c>
      <c r="L125" s="14" t="str">
        <f>TEXT(tblBookings[[#This Row],[CheckIn]],"MMM")</f>
        <v>Sep</v>
      </c>
      <c r="M125" s="14">
        <f>MONTH(tblBookings[[#This Row],[CheckIn]])</f>
        <v>9</v>
      </c>
      <c r="N125" s="14" t="str">
        <f>"Q"&amp;ROUNDUP(MONTH(tblBookings[[#This Row],[CheckIn]])/3,0)</f>
        <v>Q3</v>
      </c>
    </row>
    <row r="126" spans="1:14" x14ac:dyDescent="0.3">
      <c r="A126" s="1" t="s">
        <v>485</v>
      </c>
      <c r="B126" s="2">
        <v>204</v>
      </c>
      <c r="C126" s="2" t="s">
        <v>154</v>
      </c>
      <c r="D126" s="3" t="s">
        <v>486</v>
      </c>
      <c r="E126" s="3" t="s">
        <v>487</v>
      </c>
      <c r="F126" s="2">
        <v>2</v>
      </c>
      <c r="G126" s="2">
        <v>9567891445</v>
      </c>
      <c r="H126" s="2">
        <v>16796</v>
      </c>
      <c r="I126" s="4" t="s">
        <v>18</v>
      </c>
      <c r="J126" s="6">
        <f>tblBookings[[#This Row],[CheckOut]]-tblBookings[[#This Row],[CheckIn]]</f>
        <v>4</v>
      </c>
      <c r="K126" s="6">
        <f>YEAR(tblBookings[[#This Row],[CheckIn]])</f>
        <v>2027</v>
      </c>
      <c r="L126" s="14" t="str">
        <f>TEXT(tblBookings[[#This Row],[CheckIn]],"MMM")</f>
        <v>Oct</v>
      </c>
      <c r="M126" s="14">
        <f>MONTH(tblBookings[[#This Row],[CheckIn]])</f>
        <v>10</v>
      </c>
      <c r="N126" s="14" t="str">
        <f>"Q"&amp;ROUNDUP(MONTH(tblBookings[[#This Row],[CheckIn]])/3,0)</f>
        <v>Q4</v>
      </c>
    </row>
    <row r="127" spans="1:14" x14ac:dyDescent="0.3">
      <c r="A127" s="5" t="s">
        <v>488</v>
      </c>
      <c r="B127" s="6">
        <v>202</v>
      </c>
      <c r="C127" s="6" t="s">
        <v>273</v>
      </c>
      <c r="D127" s="7" t="s">
        <v>487</v>
      </c>
      <c r="E127" s="7" t="s">
        <v>489</v>
      </c>
      <c r="F127" s="6">
        <v>2</v>
      </c>
      <c r="G127" s="6">
        <v>9678902556</v>
      </c>
      <c r="H127" s="6">
        <v>9996</v>
      </c>
      <c r="I127" s="8" t="s">
        <v>13</v>
      </c>
      <c r="J127" s="6">
        <f>tblBookings[[#This Row],[CheckOut]]-tblBookings[[#This Row],[CheckIn]]</f>
        <v>4</v>
      </c>
      <c r="K127" s="6">
        <f>YEAR(tblBookings[[#This Row],[CheckIn]])</f>
        <v>2027</v>
      </c>
      <c r="L127" s="14" t="str">
        <f>TEXT(tblBookings[[#This Row],[CheckIn]],"MMM")</f>
        <v>Oct</v>
      </c>
      <c r="M127" s="14">
        <f>MONTH(tblBookings[[#This Row],[CheckIn]])</f>
        <v>10</v>
      </c>
      <c r="N127" s="14" t="str">
        <f>"Q"&amp;ROUNDUP(MONTH(tblBookings[[#This Row],[CheckIn]])/3,0)</f>
        <v>Q4</v>
      </c>
    </row>
    <row r="128" spans="1:14" x14ac:dyDescent="0.3">
      <c r="A128" s="1" t="s">
        <v>490</v>
      </c>
      <c r="B128" s="2">
        <v>203</v>
      </c>
      <c r="C128" s="2" t="s">
        <v>491</v>
      </c>
      <c r="D128" s="3" t="s">
        <v>492</v>
      </c>
      <c r="E128" s="3" t="s">
        <v>493</v>
      </c>
      <c r="F128" s="2">
        <v>4</v>
      </c>
      <c r="G128" s="2">
        <v>9789013667</v>
      </c>
      <c r="H128" s="2">
        <v>14796</v>
      </c>
      <c r="I128" s="4" t="s">
        <v>13</v>
      </c>
      <c r="J128" s="6">
        <f>tblBookings[[#This Row],[CheckOut]]-tblBookings[[#This Row],[CheckIn]]</f>
        <v>4</v>
      </c>
      <c r="K128" s="6">
        <f>YEAR(tblBookings[[#This Row],[CheckIn]])</f>
        <v>2027</v>
      </c>
      <c r="L128" s="14" t="str">
        <f>TEXT(tblBookings[[#This Row],[CheckIn]],"MMM")</f>
        <v>Oct</v>
      </c>
      <c r="M128" s="14">
        <f>MONTH(tblBookings[[#This Row],[CheckIn]])</f>
        <v>10</v>
      </c>
      <c r="N128" s="14" t="str">
        <f>"Q"&amp;ROUNDUP(MONTH(tblBookings[[#This Row],[CheckIn]])/3,0)</f>
        <v>Q4</v>
      </c>
    </row>
    <row r="129" spans="1:14" x14ac:dyDescent="0.3">
      <c r="A129" s="5" t="s">
        <v>494</v>
      </c>
      <c r="B129" s="6">
        <v>206</v>
      </c>
      <c r="C129" s="6" t="s">
        <v>495</v>
      </c>
      <c r="D129" s="7" t="s">
        <v>496</v>
      </c>
      <c r="E129" s="7" t="s">
        <v>497</v>
      </c>
      <c r="F129" s="6">
        <v>3</v>
      </c>
      <c r="G129" s="6">
        <v>9890124778</v>
      </c>
      <c r="H129" s="6">
        <v>17997</v>
      </c>
      <c r="I129" s="8" t="s">
        <v>18</v>
      </c>
      <c r="J129" s="6">
        <f>tblBookings[[#This Row],[CheckOut]]-tblBookings[[#This Row],[CheckIn]]</f>
        <v>3</v>
      </c>
      <c r="K129" s="6">
        <f>YEAR(tblBookings[[#This Row],[CheckIn]])</f>
        <v>2027</v>
      </c>
      <c r="L129" s="14" t="str">
        <f>TEXT(tblBookings[[#This Row],[CheckIn]],"MMM")</f>
        <v>Oct</v>
      </c>
      <c r="M129" s="14">
        <f>MONTH(tblBookings[[#This Row],[CheckIn]])</f>
        <v>10</v>
      </c>
      <c r="N129" s="14" t="str">
        <f>"Q"&amp;ROUNDUP(MONTH(tblBookings[[#This Row],[CheckIn]])/3,0)</f>
        <v>Q4</v>
      </c>
    </row>
    <row r="130" spans="1:14" x14ac:dyDescent="0.3">
      <c r="A130" s="1" t="s">
        <v>498</v>
      </c>
      <c r="B130" s="2">
        <v>205</v>
      </c>
      <c r="C130" s="2" t="s">
        <v>499</v>
      </c>
      <c r="D130" s="3" t="s">
        <v>500</v>
      </c>
      <c r="E130" s="3" t="s">
        <v>501</v>
      </c>
      <c r="F130" s="2">
        <v>2</v>
      </c>
      <c r="G130" s="2">
        <v>9901235889</v>
      </c>
      <c r="H130" s="2">
        <v>4398</v>
      </c>
      <c r="I130" s="4" t="s">
        <v>13</v>
      </c>
      <c r="J130" s="6">
        <f>tblBookings[[#This Row],[CheckOut]]-tblBookings[[#This Row],[CheckIn]]</f>
        <v>2</v>
      </c>
      <c r="K130" s="6">
        <f>YEAR(tblBookings[[#This Row],[CheckIn]])</f>
        <v>2027</v>
      </c>
      <c r="L130" s="14" t="str">
        <f>TEXT(tblBookings[[#This Row],[CheckIn]],"MMM")</f>
        <v>Oct</v>
      </c>
      <c r="M130" s="14">
        <f>MONTH(tblBookings[[#This Row],[CheckIn]])</f>
        <v>10</v>
      </c>
      <c r="N130" s="14" t="str">
        <f>"Q"&amp;ROUNDUP(MONTH(tblBookings[[#This Row],[CheckIn]])/3,0)</f>
        <v>Q4</v>
      </c>
    </row>
    <row r="131" spans="1:14" x14ac:dyDescent="0.3">
      <c r="A131" s="5" t="s">
        <v>502</v>
      </c>
      <c r="B131" s="6">
        <v>201</v>
      </c>
      <c r="C131" s="6" t="s">
        <v>289</v>
      </c>
      <c r="D131" s="7" t="s">
        <v>503</v>
      </c>
      <c r="E131" s="7" t="s">
        <v>504</v>
      </c>
      <c r="F131" s="6">
        <v>2</v>
      </c>
      <c r="G131" s="6">
        <v>9012346990</v>
      </c>
      <c r="H131" s="6">
        <v>11596</v>
      </c>
      <c r="I131" s="8" t="s">
        <v>18</v>
      </c>
      <c r="J131" s="6">
        <f>tblBookings[[#This Row],[CheckOut]]-tblBookings[[#This Row],[CheckIn]]</f>
        <v>4</v>
      </c>
      <c r="K131" s="6">
        <f>YEAR(tblBookings[[#This Row],[CheckIn]])</f>
        <v>2027</v>
      </c>
      <c r="L131" s="14" t="str">
        <f>TEXT(tblBookings[[#This Row],[CheckIn]],"MMM")</f>
        <v>Oct</v>
      </c>
      <c r="M131" s="14">
        <f>MONTH(tblBookings[[#This Row],[CheckIn]])</f>
        <v>10</v>
      </c>
      <c r="N131" s="14" t="str">
        <f>"Q"&amp;ROUNDUP(MONTH(tblBookings[[#This Row],[CheckIn]])/3,0)</f>
        <v>Q4</v>
      </c>
    </row>
    <row r="132" spans="1:14" x14ac:dyDescent="0.3">
      <c r="A132" s="1" t="s">
        <v>505</v>
      </c>
      <c r="B132" s="2">
        <v>204</v>
      </c>
      <c r="C132" s="2" t="s">
        <v>120</v>
      </c>
      <c r="D132" s="3" t="s">
        <v>506</v>
      </c>
      <c r="E132" s="3" t="s">
        <v>507</v>
      </c>
      <c r="F132" s="2">
        <v>2</v>
      </c>
      <c r="G132" s="2">
        <v>9123457001</v>
      </c>
      <c r="H132" s="2">
        <v>8398</v>
      </c>
      <c r="I132" s="4" t="s">
        <v>13</v>
      </c>
      <c r="J132" s="6">
        <f>tblBookings[[#This Row],[CheckOut]]-tblBookings[[#This Row],[CheckIn]]</f>
        <v>2</v>
      </c>
      <c r="K132" s="6">
        <f>YEAR(tblBookings[[#This Row],[CheckIn]])</f>
        <v>2027</v>
      </c>
      <c r="L132" s="14" t="str">
        <f>TEXT(tblBookings[[#This Row],[CheckIn]],"MMM")</f>
        <v>Nov</v>
      </c>
      <c r="M132" s="14">
        <f>MONTH(tblBookings[[#This Row],[CheckIn]])</f>
        <v>11</v>
      </c>
      <c r="N132" s="14" t="str">
        <f>"Q"&amp;ROUNDUP(MONTH(tblBookings[[#This Row],[CheckIn]])/3,0)</f>
        <v>Q4</v>
      </c>
    </row>
    <row r="133" spans="1:14" x14ac:dyDescent="0.3">
      <c r="A133" s="5" t="s">
        <v>508</v>
      </c>
      <c r="B133" s="6">
        <v>202</v>
      </c>
      <c r="C133" s="6" t="s">
        <v>509</v>
      </c>
      <c r="D133" s="7" t="s">
        <v>510</v>
      </c>
      <c r="E133" s="7" t="s">
        <v>511</v>
      </c>
      <c r="F133" s="6">
        <v>2</v>
      </c>
      <c r="G133" s="6">
        <v>9234568112</v>
      </c>
      <c r="H133" s="6">
        <v>7497</v>
      </c>
      <c r="I133" s="8" t="s">
        <v>13</v>
      </c>
      <c r="J133" s="6">
        <f>tblBookings[[#This Row],[CheckOut]]-tblBookings[[#This Row],[CheckIn]]</f>
        <v>3</v>
      </c>
      <c r="K133" s="6">
        <f>YEAR(tblBookings[[#This Row],[CheckIn]])</f>
        <v>2027</v>
      </c>
      <c r="L133" s="14" t="str">
        <f>TEXT(tblBookings[[#This Row],[CheckIn]],"MMM")</f>
        <v>Nov</v>
      </c>
      <c r="M133" s="14">
        <f>MONTH(tblBookings[[#This Row],[CheckIn]])</f>
        <v>11</v>
      </c>
      <c r="N133" s="14" t="str">
        <f>"Q"&amp;ROUNDUP(MONTH(tblBookings[[#This Row],[CheckIn]])/3,0)</f>
        <v>Q4</v>
      </c>
    </row>
    <row r="134" spans="1:14" x14ac:dyDescent="0.3">
      <c r="A134" s="1" t="s">
        <v>512</v>
      </c>
      <c r="B134" s="2">
        <v>203</v>
      </c>
      <c r="C134" s="2" t="s">
        <v>513</v>
      </c>
      <c r="D134" s="3" t="s">
        <v>514</v>
      </c>
      <c r="E134" s="3" t="s">
        <v>515</v>
      </c>
      <c r="F134" s="2">
        <v>4</v>
      </c>
      <c r="G134" s="2">
        <v>9345679223</v>
      </c>
      <c r="H134" s="2">
        <v>14796</v>
      </c>
      <c r="I134" s="4" t="s">
        <v>18</v>
      </c>
      <c r="J134" s="6">
        <f>tblBookings[[#This Row],[CheckOut]]-tblBookings[[#This Row],[CheckIn]]</f>
        <v>4</v>
      </c>
      <c r="K134" s="6">
        <f>YEAR(tblBookings[[#This Row],[CheckIn]])</f>
        <v>2027</v>
      </c>
      <c r="L134" s="14" t="str">
        <f>TEXT(tblBookings[[#This Row],[CheckIn]],"MMM")</f>
        <v>Nov</v>
      </c>
      <c r="M134" s="14">
        <f>MONTH(tblBookings[[#This Row],[CheckIn]])</f>
        <v>11</v>
      </c>
      <c r="N134" s="14" t="str">
        <f>"Q"&amp;ROUNDUP(MONTH(tblBookings[[#This Row],[CheckIn]])/3,0)</f>
        <v>Q4</v>
      </c>
    </row>
    <row r="135" spans="1:14" x14ac:dyDescent="0.3">
      <c r="A135" s="5" t="s">
        <v>516</v>
      </c>
      <c r="B135" s="6">
        <v>206</v>
      </c>
      <c r="C135" s="6" t="s">
        <v>517</v>
      </c>
      <c r="D135" s="7" t="s">
        <v>518</v>
      </c>
      <c r="E135" s="7" t="s">
        <v>519</v>
      </c>
      <c r="F135" s="6">
        <v>3</v>
      </c>
      <c r="G135" s="6">
        <v>9456780334</v>
      </c>
      <c r="H135" s="6">
        <v>29995</v>
      </c>
      <c r="I135" s="8" t="s">
        <v>13</v>
      </c>
      <c r="J135" s="6">
        <f>tblBookings[[#This Row],[CheckOut]]-tblBookings[[#This Row],[CheckIn]]</f>
        <v>5</v>
      </c>
      <c r="K135" s="6">
        <f>YEAR(tblBookings[[#This Row],[CheckIn]])</f>
        <v>2027</v>
      </c>
      <c r="L135" s="14" t="str">
        <f>TEXT(tblBookings[[#This Row],[CheckIn]],"MMM")</f>
        <v>Nov</v>
      </c>
      <c r="M135" s="14">
        <f>MONTH(tblBookings[[#This Row],[CheckIn]])</f>
        <v>11</v>
      </c>
      <c r="N135" s="14" t="str">
        <f>"Q"&amp;ROUNDUP(MONTH(tblBookings[[#This Row],[CheckIn]])/3,0)</f>
        <v>Q4</v>
      </c>
    </row>
    <row r="136" spans="1:14" x14ac:dyDescent="0.3">
      <c r="A136" s="1" t="s">
        <v>520</v>
      </c>
      <c r="B136" s="2">
        <v>205</v>
      </c>
      <c r="C136" s="2" t="s">
        <v>521</v>
      </c>
      <c r="D136" s="3" t="s">
        <v>519</v>
      </c>
      <c r="E136" s="3" t="s">
        <v>522</v>
      </c>
      <c r="F136" s="2">
        <v>2</v>
      </c>
      <c r="G136" s="2">
        <v>9567891445</v>
      </c>
      <c r="H136" s="2">
        <v>6597</v>
      </c>
      <c r="I136" s="4" t="s">
        <v>13</v>
      </c>
      <c r="J136" s="6">
        <f>tblBookings[[#This Row],[CheckOut]]-tblBookings[[#This Row],[CheckIn]]</f>
        <v>3</v>
      </c>
      <c r="K136" s="6">
        <f>YEAR(tblBookings[[#This Row],[CheckIn]])</f>
        <v>2027</v>
      </c>
      <c r="L136" s="14" t="str">
        <f>TEXT(tblBookings[[#This Row],[CheckIn]],"MMM")</f>
        <v>Nov</v>
      </c>
      <c r="M136" s="14">
        <f>MONTH(tblBookings[[#This Row],[CheckIn]])</f>
        <v>11</v>
      </c>
      <c r="N136" s="14" t="str">
        <f>"Q"&amp;ROUNDUP(MONTH(tblBookings[[#This Row],[CheckIn]])/3,0)</f>
        <v>Q4</v>
      </c>
    </row>
    <row r="137" spans="1:14" x14ac:dyDescent="0.3">
      <c r="A137" s="5" t="s">
        <v>523</v>
      </c>
      <c r="B137" s="6">
        <v>201</v>
      </c>
      <c r="C137" s="6" t="s">
        <v>524</v>
      </c>
      <c r="D137" s="7" t="s">
        <v>525</v>
      </c>
      <c r="E137" s="7" t="s">
        <v>526</v>
      </c>
      <c r="F137" s="6">
        <v>2</v>
      </c>
      <c r="G137" s="6">
        <v>9678902556</v>
      </c>
      <c r="H137" s="6">
        <v>5798</v>
      </c>
      <c r="I137" s="8" t="s">
        <v>18</v>
      </c>
      <c r="J137" s="6">
        <f>tblBookings[[#This Row],[CheckOut]]-tblBookings[[#This Row],[CheckIn]]</f>
        <v>2</v>
      </c>
      <c r="K137" s="6">
        <f>YEAR(tblBookings[[#This Row],[CheckIn]])</f>
        <v>2027</v>
      </c>
      <c r="L137" s="14" t="str">
        <f>TEXT(tblBookings[[#This Row],[CheckIn]],"MMM")</f>
        <v>Nov</v>
      </c>
      <c r="M137" s="14">
        <f>MONTH(tblBookings[[#This Row],[CheckIn]])</f>
        <v>11</v>
      </c>
      <c r="N137" s="14" t="str">
        <f>"Q"&amp;ROUNDUP(MONTH(tblBookings[[#This Row],[CheckIn]])/3,0)</f>
        <v>Q4</v>
      </c>
    </row>
    <row r="138" spans="1:14" x14ac:dyDescent="0.3">
      <c r="A138" s="1" t="s">
        <v>527</v>
      </c>
      <c r="B138" s="2">
        <v>204</v>
      </c>
      <c r="C138" s="2" t="s">
        <v>342</v>
      </c>
      <c r="D138" s="3" t="s">
        <v>528</v>
      </c>
      <c r="E138" s="3" t="s">
        <v>529</v>
      </c>
      <c r="F138" s="2">
        <v>2</v>
      </c>
      <c r="G138" s="2">
        <v>9789013667</v>
      </c>
      <c r="H138" s="2">
        <v>16796</v>
      </c>
      <c r="I138" s="4" t="s">
        <v>13</v>
      </c>
      <c r="J138" s="6">
        <f>tblBookings[[#This Row],[CheckOut]]-tblBookings[[#This Row],[CheckIn]]</f>
        <v>4</v>
      </c>
      <c r="K138" s="6">
        <f>YEAR(tblBookings[[#This Row],[CheckIn]])</f>
        <v>2027</v>
      </c>
      <c r="L138" s="14" t="str">
        <f>TEXT(tblBookings[[#This Row],[CheckIn]],"MMM")</f>
        <v>Dec</v>
      </c>
      <c r="M138" s="14">
        <f>MONTH(tblBookings[[#This Row],[CheckIn]])</f>
        <v>12</v>
      </c>
      <c r="N138" s="14" t="str">
        <f>"Q"&amp;ROUNDUP(MONTH(tblBookings[[#This Row],[CheckIn]])/3,0)</f>
        <v>Q4</v>
      </c>
    </row>
    <row r="139" spans="1:14" x14ac:dyDescent="0.3">
      <c r="A139" s="5" t="s">
        <v>530</v>
      </c>
      <c r="B139" s="6">
        <v>202</v>
      </c>
      <c r="C139" s="6" t="s">
        <v>531</v>
      </c>
      <c r="D139" s="7" t="s">
        <v>529</v>
      </c>
      <c r="E139" s="7" t="s">
        <v>532</v>
      </c>
      <c r="F139" s="6">
        <v>2</v>
      </c>
      <c r="G139" s="6">
        <v>9890124778</v>
      </c>
      <c r="H139" s="6">
        <v>7497</v>
      </c>
      <c r="I139" s="8" t="s">
        <v>13</v>
      </c>
      <c r="J139" s="6">
        <f>tblBookings[[#This Row],[CheckOut]]-tblBookings[[#This Row],[CheckIn]]</f>
        <v>3</v>
      </c>
      <c r="K139" s="6">
        <f>YEAR(tblBookings[[#This Row],[CheckIn]])</f>
        <v>2027</v>
      </c>
      <c r="L139" s="14" t="str">
        <f>TEXT(tblBookings[[#This Row],[CheckIn]],"MMM")</f>
        <v>Dec</v>
      </c>
      <c r="M139" s="14">
        <f>MONTH(tblBookings[[#This Row],[CheckIn]])</f>
        <v>12</v>
      </c>
      <c r="N139" s="14" t="str">
        <f>"Q"&amp;ROUNDUP(MONTH(tblBookings[[#This Row],[CheckIn]])/3,0)</f>
        <v>Q4</v>
      </c>
    </row>
    <row r="140" spans="1:14" x14ac:dyDescent="0.3">
      <c r="A140" s="1" t="s">
        <v>533</v>
      </c>
      <c r="B140" s="2">
        <v>203</v>
      </c>
      <c r="C140" s="2" t="s">
        <v>285</v>
      </c>
      <c r="D140" s="3" t="s">
        <v>534</v>
      </c>
      <c r="E140" s="3" t="s">
        <v>535</v>
      </c>
      <c r="F140" s="2">
        <v>4</v>
      </c>
      <c r="G140" s="2">
        <v>9901235889</v>
      </c>
      <c r="H140" s="2">
        <v>11097</v>
      </c>
      <c r="I140" s="4" t="s">
        <v>18</v>
      </c>
      <c r="J140" s="6">
        <f>tblBookings[[#This Row],[CheckOut]]-tblBookings[[#This Row],[CheckIn]]</f>
        <v>3</v>
      </c>
      <c r="K140" s="6">
        <f>YEAR(tblBookings[[#This Row],[CheckIn]])</f>
        <v>2027</v>
      </c>
      <c r="L140" s="14" t="str">
        <f>TEXT(tblBookings[[#This Row],[CheckIn]],"MMM")</f>
        <v>Dec</v>
      </c>
      <c r="M140" s="14">
        <f>MONTH(tblBookings[[#This Row],[CheckIn]])</f>
        <v>12</v>
      </c>
      <c r="N140" s="14" t="str">
        <f>"Q"&amp;ROUNDUP(MONTH(tblBookings[[#This Row],[CheckIn]])/3,0)</f>
        <v>Q4</v>
      </c>
    </row>
    <row r="141" spans="1:14" x14ac:dyDescent="0.3">
      <c r="A141" s="5" t="s">
        <v>536</v>
      </c>
      <c r="B141" s="6">
        <v>206</v>
      </c>
      <c r="C141" s="6" t="s">
        <v>537</v>
      </c>
      <c r="D141" s="7" t="s">
        <v>538</v>
      </c>
      <c r="E141" s="7" t="s">
        <v>539</v>
      </c>
      <c r="F141" s="6">
        <v>3</v>
      </c>
      <c r="G141" s="6">
        <v>9012346990</v>
      </c>
      <c r="H141" s="6">
        <v>17997</v>
      </c>
      <c r="I141" s="8" t="s">
        <v>13</v>
      </c>
      <c r="J141" s="6">
        <f>tblBookings[[#This Row],[CheckOut]]-tblBookings[[#This Row],[CheckIn]]</f>
        <v>3</v>
      </c>
      <c r="K141" s="6">
        <f>YEAR(tblBookings[[#This Row],[CheckIn]])</f>
        <v>2027</v>
      </c>
      <c r="L141" s="14" t="str">
        <f>TEXT(tblBookings[[#This Row],[CheckIn]],"MMM")</f>
        <v>Dec</v>
      </c>
      <c r="M141" s="14">
        <f>MONTH(tblBookings[[#This Row],[CheckIn]])</f>
        <v>12</v>
      </c>
      <c r="N141" s="14" t="str">
        <f>"Q"&amp;ROUNDUP(MONTH(tblBookings[[#This Row],[CheckIn]])/3,0)</f>
        <v>Q4</v>
      </c>
    </row>
    <row r="142" spans="1:14" x14ac:dyDescent="0.3">
      <c r="A142" s="1" t="s">
        <v>540</v>
      </c>
      <c r="B142" s="2">
        <v>205</v>
      </c>
      <c r="C142" s="2" t="s">
        <v>541</v>
      </c>
      <c r="D142" s="3" t="s">
        <v>542</v>
      </c>
      <c r="E142" s="3" t="s">
        <v>543</v>
      </c>
      <c r="F142" s="2">
        <v>2</v>
      </c>
      <c r="G142" s="2">
        <v>9123457001</v>
      </c>
      <c r="H142" s="2">
        <v>4398</v>
      </c>
      <c r="I142" s="4" t="s">
        <v>13</v>
      </c>
      <c r="J142" s="6">
        <f>tblBookings[[#This Row],[CheckOut]]-tblBookings[[#This Row],[CheckIn]]</f>
        <v>2</v>
      </c>
      <c r="K142" s="6">
        <f>YEAR(tblBookings[[#This Row],[CheckIn]])</f>
        <v>2027</v>
      </c>
      <c r="L142" s="14" t="str">
        <f>TEXT(tblBookings[[#This Row],[CheckIn]],"MMM")</f>
        <v>Dec</v>
      </c>
      <c r="M142" s="14">
        <f>MONTH(tblBookings[[#This Row],[CheckIn]])</f>
        <v>12</v>
      </c>
      <c r="N142" s="14" t="str">
        <f>"Q"&amp;ROUNDUP(MONTH(tblBookings[[#This Row],[CheckIn]])/3,0)</f>
        <v>Q4</v>
      </c>
    </row>
    <row r="143" spans="1:14" x14ac:dyDescent="0.3">
      <c r="A143" s="5" t="s">
        <v>544</v>
      </c>
      <c r="B143" s="6">
        <v>201</v>
      </c>
      <c r="C143" s="6" t="s">
        <v>84</v>
      </c>
      <c r="D143" s="7" t="s">
        <v>545</v>
      </c>
      <c r="E143" s="7" t="s">
        <v>546</v>
      </c>
      <c r="F143" s="6">
        <v>2</v>
      </c>
      <c r="G143" s="6">
        <v>9234568112</v>
      </c>
      <c r="H143" s="6">
        <v>11596</v>
      </c>
      <c r="I143" s="8" t="s">
        <v>18</v>
      </c>
      <c r="J143" s="6">
        <f>tblBookings[[#This Row],[CheckOut]]-tblBookings[[#This Row],[CheckIn]]</f>
        <v>4</v>
      </c>
      <c r="K143" s="6">
        <f>YEAR(tblBookings[[#This Row],[CheckIn]])</f>
        <v>2027</v>
      </c>
      <c r="L143" s="14" t="str">
        <f>TEXT(tblBookings[[#This Row],[CheckIn]],"MMM")</f>
        <v>Dec</v>
      </c>
      <c r="M143" s="14">
        <f>MONTH(tblBookings[[#This Row],[CheckIn]])</f>
        <v>12</v>
      </c>
      <c r="N143" s="14" t="str">
        <f>"Q"&amp;ROUNDUP(MONTH(tblBookings[[#This Row],[CheckIn]])/3,0)</f>
        <v>Q4</v>
      </c>
    </row>
    <row r="144" spans="1:14" x14ac:dyDescent="0.3">
      <c r="A144" s="1" t="s">
        <v>547</v>
      </c>
      <c r="B144" s="2">
        <v>204</v>
      </c>
      <c r="C144" s="2" t="s">
        <v>548</v>
      </c>
      <c r="D144" s="3" t="s">
        <v>549</v>
      </c>
      <c r="E144" s="3" t="s">
        <v>550</v>
      </c>
      <c r="F144" s="2">
        <v>2</v>
      </c>
      <c r="G144" s="2">
        <v>9345679223</v>
      </c>
      <c r="H144" s="2">
        <v>12597</v>
      </c>
      <c r="I144" s="4" t="s">
        <v>13</v>
      </c>
      <c r="J144" s="6">
        <f>tblBookings[[#This Row],[CheckOut]]-tblBookings[[#This Row],[CheckIn]]</f>
        <v>3</v>
      </c>
      <c r="K144" s="6">
        <f>YEAR(tblBookings[[#This Row],[CheckIn]])</f>
        <v>2028</v>
      </c>
      <c r="L144" s="14" t="str">
        <f>TEXT(tblBookings[[#This Row],[CheckIn]],"MMM")</f>
        <v>Jan</v>
      </c>
      <c r="M144" s="14">
        <f>MONTH(tblBookings[[#This Row],[CheckIn]])</f>
        <v>1</v>
      </c>
      <c r="N144" s="14" t="str">
        <f>"Q"&amp;ROUNDUP(MONTH(tblBookings[[#This Row],[CheckIn]])/3,0)</f>
        <v>Q1</v>
      </c>
    </row>
    <row r="145" spans="1:14" x14ac:dyDescent="0.3">
      <c r="A145" s="5" t="s">
        <v>551</v>
      </c>
      <c r="B145" s="6">
        <v>202</v>
      </c>
      <c r="C145" s="6" t="s">
        <v>552</v>
      </c>
      <c r="D145" s="7" t="s">
        <v>553</v>
      </c>
      <c r="E145" s="7" t="s">
        <v>554</v>
      </c>
      <c r="F145" s="6">
        <v>2</v>
      </c>
      <c r="G145" s="6">
        <v>9456780334</v>
      </c>
      <c r="H145" s="6">
        <v>9996</v>
      </c>
      <c r="I145" s="8" t="s">
        <v>13</v>
      </c>
      <c r="J145" s="6">
        <f>tblBookings[[#This Row],[CheckOut]]-tblBookings[[#This Row],[CheckIn]]</f>
        <v>4</v>
      </c>
      <c r="K145" s="6">
        <f>YEAR(tblBookings[[#This Row],[CheckIn]])</f>
        <v>2028</v>
      </c>
      <c r="L145" s="14" t="str">
        <f>TEXT(tblBookings[[#This Row],[CheckIn]],"MMM")</f>
        <v>Jan</v>
      </c>
      <c r="M145" s="14">
        <f>MONTH(tblBookings[[#This Row],[CheckIn]])</f>
        <v>1</v>
      </c>
      <c r="N145" s="14" t="str">
        <f>"Q"&amp;ROUNDUP(MONTH(tblBookings[[#This Row],[CheckIn]])/3,0)</f>
        <v>Q1</v>
      </c>
    </row>
    <row r="146" spans="1:14" x14ac:dyDescent="0.3">
      <c r="A146" s="1" t="s">
        <v>555</v>
      </c>
      <c r="B146" s="2">
        <v>203</v>
      </c>
      <c r="C146" s="2" t="s">
        <v>556</v>
      </c>
      <c r="D146" s="3" t="s">
        <v>557</v>
      </c>
      <c r="E146" s="3" t="s">
        <v>558</v>
      </c>
      <c r="F146" s="2">
        <v>3</v>
      </c>
      <c r="G146" s="2">
        <v>9567891445</v>
      </c>
      <c r="H146" s="2">
        <v>7398</v>
      </c>
      <c r="I146" s="4" t="s">
        <v>18</v>
      </c>
      <c r="J146" s="6">
        <f>tblBookings[[#This Row],[CheckOut]]-tblBookings[[#This Row],[CheckIn]]</f>
        <v>2</v>
      </c>
      <c r="K146" s="6">
        <f>YEAR(tblBookings[[#This Row],[CheckIn]])</f>
        <v>2028</v>
      </c>
      <c r="L146" s="14" t="str">
        <f>TEXT(tblBookings[[#This Row],[CheckIn]],"MMM")</f>
        <v>Jan</v>
      </c>
      <c r="M146" s="14">
        <f>MONTH(tblBookings[[#This Row],[CheckIn]])</f>
        <v>1</v>
      </c>
      <c r="N146" s="14" t="str">
        <f>"Q"&amp;ROUNDUP(MONTH(tblBookings[[#This Row],[CheckIn]])/3,0)</f>
        <v>Q1</v>
      </c>
    </row>
    <row r="147" spans="1:14" x14ac:dyDescent="0.3">
      <c r="A147" s="5" t="s">
        <v>559</v>
      </c>
      <c r="B147" s="6">
        <v>206</v>
      </c>
      <c r="C147" s="6" t="s">
        <v>560</v>
      </c>
      <c r="D147" s="7" t="s">
        <v>561</v>
      </c>
      <c r="E147" s="7" t="s">
        <v>562</v>
      </c>
      <c r="F147" s="6">
        <v>3</v>
      </c>
      <c r="G147" s="6">
        <v>9678902556</v>
      </c>
      <c r="H147" s="6">
        <v>17997</v>
      </c>
      <c r="I147" s="8" t="s">
        <v>13</v>
      </c>
      <c r="J147" s="6">
        <f>tblBookings[[#This Row],[CheckOut]]-tblBookings[[#This Row],[CheckIn]]</f>
        <v>3</v>
      </c>
      <c r="K147" s="6">
        <f>YEAR(tblBookings[[#This Row],[CheckIn]])</f>
        <v>2028</v>
      </c>
      <c r="L147" s="14" t="str">
        <f>TEXT(tblBookings[[#This Row],[CheckIn]],"MMM")</f>
        <v>Jan</v>
      </c>
      <c r="M147" s="14">
        <f>MONTH(tblBookings[[#This Row],[CheckIn]])</f>
        <v>1</v>
      </c>
      <c r="N147" s="14" t="str">
        <f>"Q"&amp;ROUNDUP(MONTH(tblBookings[[#This Row],[CheckIn]])/3,0)</f>
        <v>Q1</v>
      </c>
    </row>
    <row r="148" spans="1:14" x14ac:dyDescent="0.3">
      <c r="A148" s="1" t="s">
        <v>563</v>
      </c>
      <c r="B148" s="2">
        <v>205</v>
      </c>
      <c r="C148" s="2" t="s">
        <v>564</v>
      </c>
      <c r="D148" s="3" t="s">
        <v>565</v>
      </c>
      <c r="E148" s="3" t="s">
        <v>566</v>
      </c>
      <c r="F148" s="2">
        <v>2</v>
      </c>
      <c r="G148" s="2">
        <v>9789013667</v>
      </c>
      <c r="H148" s="2">
        <v>6597</v>
      </c>
      <c r="I148" s="4" t="s">
        <v>13</v>
      </c>
      <c r="J148" s="6">
        <f>tblBookings[[#This Row],[CheckOut]]-tblBookings[[#This Row],[CheckIn]]</f>
        <v>3</v>
      </c>
      <c r="K148" s="6">
        <f>YEAR(tblBookings[[#This Row],[CheckIn]])</f>
        <v>2028</v>
      </c>
      <c r="L148" s="14" t="str">
        <f>TEXT(tblBookings[[#This Row],[CheckIn]],"MMM")</f>
        <v>Jan</v>
      </c>
      <c r="M148" s="14">
        <f>MONTH(tblBookings[[#This Row],[CheckIn]])</f>
        <v>1</v>
      </c>
      <c r="N148" s="14" t="str">
        <f>"Q"&amp;ROUNDUP(MONTH(tblBookings[[#This Row],[CheckIn]])/3,0)</f>
        <v>Q1</v>
      </c>
    </row>
    <row r="149" spans="1:14" x14ac:dyDescent="0.3">
      <c r="A149" s="5" t="s">
        <v>567</v>
      </c>
      <c r="B149" s="6">
        <v>201</v>
      </c>
      <c r="C149" s="6" t="s">
        <v>410</v>
      </c>
      <c r="D149" s="7" t="s">
        <v>568</v>
      </c>
      <c r="E149" s="7" t="s">
        <v>569</v>
      </c>
      <c r="F149" s="6">
        <v>2</v>
      </c>
      <c r="G149" s="6">
        <v>9890124778</v>
      </c>
      <c r="H149" s="6">
        <v>5798</v>
      </c>
      <c r="I149" s="8" t="s">
        <v>18</v>
      </c>
      <c r="J149" s="6">
        <f>tblBookings[[#This Row],[CheckOut]]-tblBookings[[#This Row],[CheckIn]]</f>
        <v>2</v>
      </c>
      <c r="K149" s="6">
        <f>YEAR(tblBookings[[#This Row],[CheckIn]])</f>
        <v>2028</v>
      </c>
      <c r="L149" s="14" t="str">
        <f>TEXT(tblBookings[[#This Row],[CheckIn]],"MMM")</f>
        <v>Jan</v>
      </c>
      <c r="M149" s="14">
        <f>MONTH(tblBookings[[#This Row],[CheckIn]])</f>
        <v>1</v>
      </c>
      <c r="N149" s="14" t="str">
        <f>"Q"&amp;ROUNDUP(MONTH(tblBookings[[#This Row],[CheckIn]])/3,0)</f>
        <v>Q1</v>
      </c>
    </row>
    <row r="150" spans="1:14" x14ac:dyDescent="0.3">
      <c r="A150" s="1" t="s">
        <v>570</v>
      </c>
      <c r="B150" s="2">
        <v>204</v>
      </c>
      <c r="C150" s="2" t="s">
        <v>233</v>
      </c>
      <c r="D150" s="3" t="s">
        <v>571</v>
      </c>
      <c r="E150" s="3" t="s">
        <v>572</v>
      </c>
      <c r="F150" s="2">
        <v>2</v>
      </c>
      <c r="G150" s="2">
        <v>9901235889</v>
      </c>
      <c r="H150" s="2">
        <v>16796</v>
      </c>
      <c r="I150" s="4" t="s">
        <v>13</v>
      </c>
      <c r="J150" s="6">
        <f>tblBookings[[#This Row],[CheckOut]]-tblBookings[[#This Row],[CheckIn]]</f>
        <v>4</v>
      </c>
      <c r="K150" s="6">
        <f>YEAR(tblBookings[[#This Row],[CheckIn]])</f>
        <v>2028</v>
      </c>
      <c r="L150" s="14" t="str">
        <f>TEXT(tblBookings[[#This Row],[CheckIn]],"MMM")</f>
        <v>Feb</v>
      </c>
      <c r="M150" s="14">
        <f>MONTH(tblBookings[[#This Row],[CheckIn]])</f>
        <v>2</v>
      </c>
      <c r="N150" s="14" t="str">
        <f>"Q"&amp;ROUNDUP(MONTH(tblBookings[[#This Row],[CheckIn]])/3,0)</f>
        <v>Q1</v>
      </c>
    </row>
    <row r="151" spans="1:14" x14ac:dyDescent="0.3">
      <c r="A151" s="5" t="s">
        <v>573</v>
      </c>
      <c r="B151" s="6">
        <v>202</v>
      </c>
      <c r="C151" s="6" t="s">
        <v>574</v>
      </c>
      <c r="D151" s="7" t="s">
        <v>572</v>
      </c>
      <c r="E151" s="7" t="s">
        <v>575</v>
      </c>
      <c r="F151" s="6">
        <v>2</v>
      </c>
      <c r="G151" s="6">
        <v>9012346990</v>
      </c>
      <c r="H151" s="6">
        <v>7497</v>
      </c>
      <c r="I151" s="8" t="s">
        <v>13</v>
      </c>
      <c r="J151" s="6">
        <f>tblBookings[[#This Row],[CheckOut]]-tblBookings[[#This Row],[CheckIn]]</f>
        <v>3</v>
      </c>
      <c r="K151" s="6">
        <f>YEAR(tblBookings[[#This Row],[CheckIn]])</f>
        <v>2028</v>
      </c>
      <c r="L151" s="14" t="str">
        <f>TEXT(tblBookings[[#This Row],[CheckIn]],"MMM")</f>
        <v>Feb</v>
      </c>
      <c r="M151" s="14">
        <f>MONTH(tblBookings[[#This Row],[CheckIn]])</f>
        <v>2</v>
      </c>
      <c r="N151" s="14" t="str">
        <f>"Q"&amp;ROUNDUP(MONTH(tblBookings[[#This Row],[CheckIn]])/3,0)</f>
        <v>Q1</v>
      </c>
    </row>
    <row r="152" spans="1:14" x14ac:dyDescent="0.3">
      <c r="A152" s="1" t="s">
        <v>576</v>
      </c>
      <c r="B152" s="2">
        <v>203</v>
      </c>
      <c r="C152" s="2" t="s">
        <v>170</v>
      </c>
      <c r="D152" s="3" t="s">
        <v>577</v>
      </c>
      <c r="E152" s="3" t="s">
        <v>578</v>
      </c>
      <c r="F152" s="2">
        <v>4</v>
      </c>
      <c r="G152" s="2">
        <v>9123457101</v>
      </c>
      <c r="H152" s="2">
        <v>11097</v>
      </c>
      <c r="I152" s="4" t="s">
        <v>18</v>
      </c>
      <c r="J152" s="6">
        <f>tblBookings[[#This Row],[CheckOut]]-tblBookings[[#This Row],[CheckIn]]</f>
        <v>3</v>
      </c>
      <c r="K152" s="6">
        <f>YEAR(tblBookings[[#This Row],[CheckIn]])</f>
        <v>2028</v>
      </c>
      <c r="L152" s="14" t="str">
        <f>TEXT(tblBookings[[#This Row],[CheckIn]],"MMM")</f>
        <v>Feb</v>
      </c>
      <c r="M152" s="14">
        <f>MONTH(tblBookings[[#This Row],[CheckIn]])</f>
        <v>2</v>
      </c>
      <c r="N152" s="14" t="str">
        <f>"Q"&amp;ROUNDUP(MONTH(tblBookings[[#This Row],[CheckIn]])/3,0)</f>
        <v>Q1</v>
      </c>
    </row>
    <row r="153" spans="1:14" x14ac:dyDescent="0.3">
      <c r="A153" s="5" t="s">
        <v>579</v>
      </c>
      <c r="B153" s="6">
        <v>206</v>
      </c>
      <c r="C153" s="6" t="s">
        <v>425</v>
      </c>
      <c r="D153" s="7" t="s">
        <v>580</v>
      </c>
      <c r="E153" s="7" t="s">
        <v>581</v>
      </c>
      <c r="F153" s="6">
        <v>3</v>
      </c>
      <c r="G153" s="6">
        <v>9234568212</v>
      </c>
      <c r="H153" s="6">
        <v>17997</v>
      </c>
      <c r="I153" s="8" t="s">
        <v>13</v>
      </c>
      <c r="J153" s="6">
        <f>tblBookings[[#This Row],[CheckOut]]-tblBookings[[#This Row],[CheckIn]]</f>
        <v>3</v>
      </c>
      <c r="K153" s="6">
        <f>YEAR(tblBookings[[#This Row],[CheckIn]])</f>
        <v>2028</v>
      </c>
      <c r="L153" s="14" t="str">
        <f>TEXT(tblBookings[[#This Row],[CheckIn]],"MMM")</f>
        <v>Feb</v>
      </c>
      <c r="M153" s="14">
        <f>MONTH(tblBookings[[#This Row],[CheckIn]])</f>
        <v>2</v>
      </c>
      <c r="N153" s="14" t="str">
        <f>"Q"&amp;ROUNDUP(MONTH(tblBookings[[#This Row],[CheckIn]])/3,0)</f>
        <v>Q1</v>
      </c>
    </row>
    <row r="154" spans="1:14" x14ac:dyDescent="0.3">
      <c r="A154" s="1" t="s">
        <v>582</v>
      </c>
      <c r="B154" s="2">
        <v>205</v>
      </c>
      <c r="C154" s="2" t="s">
        <v>583</v>
      </c>
      <c r="D154" s="3" t="s">
        <v>584</v>
      </c>
      <c r="E154" s="3" t="s">
        <v>585</v>
      </c>
      <c r="F154" s="2">
        <v>2</v>
      </c>
      <c r="G154" s="2">
        <v>9345679323</v>
      </c>
      <c r="H154" s="2">
        <v>4398</v>
      </c>
      <c r="I154" s="4" t="s">
        <v>13</v>
      </c>
      <c r="J154" s="6">
        <f>tblBookings[[#This Row],[CheckOut]]-tblBookings[[#This Row],[CheckIn]]</f>
        <v>2</v>
      </c>
      <c r="K154" s="6">
        <f>YEAR(tblBookings[[#This Row],[CheckIn]])</f>
        <v>2028</v>
      </c>
      <c r="L154" s="14" t="str">
        <f>TEXT(tblBookings[[#This Row],[CheckIn]],"MMM")</f>
        <v>Feb</v>
      </c>
      <c r="M154" s="14">
        <f>MONTH(tblBookings[[#This Row],[CheckIn]])</f>
        <v>2</v>
      </c>
      <c r="N154" s="14" t="str">
        <f>"Q"&amp;ROUNDUP(MONTH(tblBookings[[#This Row],[CheckIn]])/3,0)</f>
        <v>Q1</v>
      </c>
    </row>
    <row r="155" spans="1:14" x14ac:dyDescent="0.3">
      <c r="A155" s="5" t="s">
        <v>586</v>
      </c>
      <c r="B155" s="6">
        <v>201</v>
      </c>
      <c r="C155" s="6" t="s">
        <v>331</v>
      </c>
      <c r="D155" s="7" t="s">
        <v>587</v>
      </c>
      <c r="E155" s="7" t="s">
        <v>588</v>
      </c>
      <c r="F155" s="6">
        <v>2</v>
      </c>
      <c r="G155" s="6">
        <v>9456780434</v>
      </c>
      <c r="H155" s="6">
        <v>11596</v>
      </c>
      <c r="I155" s="8" t="s">
        <v>18</v>
      </c>
      <c r="J155" s="6">
        <f>tblBookings[[#This Row],[CheckOut]]-tblBookings[[#This Row],[CheckIn]]</f>
        <v>4</v>
      </c>
      <c r="K155" s="6">
        <f>YEAR(tblBookings[[#This Row],[CheckIn]])</f>
        <v>2028</v>
      </c>
      <c r="L155" s="14" t="str">
        <f>TEXT(tblBookings[[#This Row],[CheckIn]],"MMM")</f>
        <v>Feb</v>
      </c>
      <c r="M155" s="14">
        <f>MONTH(tblBookings[[#This Row],[CheckIn]])</f>
        <v>2</v>
      </c>
      <c r="N155" s="14" t="str">
        <f>"Q"&amp;ROUNDUP(MONTH(tblBookings[[#This Row],[CheckIn]])/3,0)</f>
        <v>Q1</v>
      </c>
    </row>
    <row r="156" spans="1:14" x14ac:dyDescent="0.3">
      <c r="A156" s="1" t="s">
        <v>589</v>
      </c>
      <c r="B156" s="2">
        <v>204</v>
      </c>
      <c r="C156" s="2" t="s">
        <v>590</v>
      </c>
      <c r="D156" s="3" t="s">
        <v>591</v>
      </c>
      <c r="E156" s="3" t="s">
        <v>592</v>
      </c>
      <c r="F156" s="2">
        <v>2</v>
      </c>
      <c r="G156" s="2">
        <v>9567891545</v>
      </c>
      <c r="H156" s="2">
        <v>12597</v>
      </c>
      <c r="I156" s="4" t="s">
        <v>13</v>
      </c>
      <c r="J156" s="6">
        <f>tblBookings[[#This Row],[CheckOut]]-tblBookings[[#This Row],[CheckIn]]</f>
        <v>3</v>
      </c>
      <c r="K156" s="6">
        <f>YEAR(tblBookings[[#This Row],[CheckIn]])</f>
        <v>2028</v>
      </c>
      <c r="L156" s="14" t="str">
        <f>TEXT(tblBookings[[#This Row],[CheckIn]],"MMM")</f>
        <v>Mar</v>
      </c>
      <c r="M156" s="14">
        <f>MONTH(tblBookings[[#This Row],[CheckIn]])</f>
        <v>3</v>
      </c>
      <c r="N156" s="14" t="str">
        <f>"Q"&amp;ROUNDUP(MONTH(tblBookings[[#This Row],[CheckIn]])/3,0)</f>
        <v>Q1</v>
      </c>
    </row>
    <row r="157" spans="1:14" x14ac:dyDescent="0.3">
      <c r="A157" s="5" t="s">
        <v>593</v>
      </c>
      <c r="B157" s="6">
        <v>202</v>
      </c>
      <c r="C157" s="6" t="s">
        <v>594</v>
      </c>
      <c r="D157" s="7" t="s">
        <v>595</v>
      </c>
      <c r="E157" s="7" t="s">
        <v>596</v>
      </c>
      <c r="F157" s="6">
        <v>2</v>
      </c>
      <c r="G157" s="6">
        <v>9678902656</v>
      </c>
      <c r="H157" s="6">
        <v>7497</v>
      </c>
      <c r="I157" s="8" t="s">
        <v>13</v>
      </c>
      <c r="J157" s="6">
        <f>tblBookings[[#This Row],[CheckOut]]-tblBookings[[#This Row],[CheckIn]]</f>
        <v>3</v>
      </c>
      <c r="K157" s="6">
        <f>YEAR(tblBookings[[#This Row],[CheckIn]])</f>
        <v>2028</v>
      </c>
      <c r="L157" s="14" t="str">
        <f>TEXT(tblBookings[[#This Row],[CheckIn]],"MMM")</f>
        <v>Mar</v>
      </c>
      <c r="M157" s="14">
        <f>MONTH(tblBookings[[#This Row],[CheckIn]])</f>
        <v>3</v>
      </c>
      <c r="N157" s="14" t="str">
        <f>"Q"&amp;ROUNDUP(MONTH(tblBookings[[#This Row],[CheckIn]])/3,0)</f>
        <v>Q1</v>
      </c>
    </row>
    <row r="158" spans="1:14" x14ac:dyDescent="0.3">
      <c r="A158" s="1" t="s">
        <v>597</v>
      </c>
      <c r="B158" s="2">
        <v>203</v>
      </c>
      <c r="C158" s="2" t="s">
        <v>457</v>
      </c>
      <c r="D158" s="3" t="s">
        <v>598</v>
      </c>
      <c r="E158" s="3" t="s">
        <v>599</v>
      </c>
      <c r="F158" s="2">
        <v>4</v>
      </c>
      <c r="G158" s="2">
        <v>9789013767</v>
      </c>
      <c r="H158" s="2">
        <v>14796</v>
      </c>
      <c r="I158" s="4" t="s">
        <v>18</v>
      </c>
      <c r="J158" s="6">
        <f>tblBookings[[#This Row],[CheckOut]]-tblBookings[[#This Row],[CheckIn]]</f>
        <v>4</v>
      </c>
      <c r="K158" s="6">
        <f>YEAR(tblBookings[[#This Row],[CheckIn]])</f>
        <v>2028</v>
      </c>
      <c r="L158" s="14" t="str">
        <f>TEXT(tblBookings[[#This Row],[CheckIn]],"MMM")</f>
        <v>Mar</v>
      </c>
      <c r="M158" s="14">
        <f>MONTH(tblBookings[[#This Row],[CheckIn]])</f>
        <v>3</v>
      </c>
      <c r="N158" s="14" t="str">
        <f>"Q"&amp;ROUNDUP(MONTH(tblBookings[[#This Row],[CheckIn]])/3,0)</f>
        <v>Q1</v>
      </c>
    </row>
    <row r="159" spans="1:14" x14ac:dyDescent="0.3">
      <c r="A159" s="5" t="s">
        <v>600</v>
      </c>
      <c r="B159" s="6">
        <v>206</v>
      </c>
      <c r="C159" s="6" t="s">
        <v>174</v>
      </c>
      <c r="D159" s="7" t="s">
        <v>601</v>
      </c>
      <c r="E159" s="7" t="s">
        <v>602</v>
      </c>
      <c r="F159" s="6">
        <v>3</v>
      </c>
      <c r="G159" s="6">
        <v>9890124878</v>
      </c>
      <c r="H159" s="6">
        <v>29995</v>
      </c>
      <c r="I159" s="8" t="s">
        <v>13</v>
      </c>
      <c r="J159" s="6">
        <f>tblBookings[[#This Row],[CheckOut]]-tblBookings[[#This Row],[CheckIn]]</f>
        <v>5</v>
      </c>
      <c r="K159" s="6">
        <f>YEAR(tblBookings[[#This Row],[CheckIn]])</f>
        <v>2028</v>
      </c>
      <c r="L159" s="14" t="str">
        <f>TEXT(tblBookings[[#This Row],[CheckIn]],"MMM")</f>
        <v>Mar</v>
      </c>
      <c r="M159" s="14">
        <f>MONTH(tblBookings[[#This Row],[CheckIn]])</f>
        <v>3</v>
      </c>
      <c r="N159" s="14" t="str">
        <f>"Q"&amp;ROUNDUP(MONTH(tblBookings[[#This Row],[CheckIn]])/3,0)</f>
        <v>Q1</v>
      </c>
    </row>
    <row r="160" spans="1:14" x14ac:dyDescent="0.3">
      <c r="A160" s="1" t="s">
        <v>603</v>
      </c>
      <c r="B160" s="2">
        <v>205</v>
      </c>
      <c r="C160" s="2" t="s">
        <v>464</v>
      </c>
      <c r="D160" s="3" t="s">
        <v>602</v>
      </c>
      <c r="E160" s="3" t="s">
        <v>604</v>
      </c>
      <c r="F160" s="2">
        <v>2</v>
      </c>
      <c r="G160" s="2">
        <v>9901235989</v>
      </c>
      <c r="H160" s="2">
        <v>6597</v>
      </c>
      <c r="I160" s="4" t="s">
        <v>13</v>
      </c>
      <c r="J160" s="6">
        <f>tblBookings[[#This Row],[CheckOut]]-tblBookings[[#This Row],[CheckIn]]</f>
        <v>3</v>
      </c>
      <c r="K160" s="6">
        <f>YEAR(tblBookings[[#This Row],[CheckIn]])</f>
        <v>2028</v>
      </c>
      <c r="L160" s="14" t="str">
        <f>TEXT(tblBookings[[#This Row],[CheckIn]],"MMM")</f>
        <v>Mar</v>
      </c>
      <c r="M160" s="14">
        <f>MONTH(tblBookings[[#This Row],[CheckIn]])</f>
        <v>3</v>
      </c>
      <c r="N160" s="14" t="str">
        <f>"Q"&amp;ROUNDUP(MONTH(tblBookings[[#This Row],[CheckIn]])/3,0)</f>
        <v>Q1</v>
      </c>
    </row>
    <row r="161" spans="1:14" x14ac:dyDescent="0.3">
      <c r="A161" s="5" t="s">
        <v>605</v>
      </c>
      <c r="B161" s="6">
        <v>201</v>
      </c>
      <c r="C161" s="6" t="s">
        <v>158</v>
      </c>
      <c r="D161" s="7" t="s">
        <v>606</v>
      </c>
      <c r="E161" s="7" t="s">
        <v>607</v>
      </c>
      <c r="F161" s="6">
        <v>2</v>
      </c>
      <c r="G161" s="6">
        <v>9012346090</v>
      </c>
      <c r="H161" s="6">
        <v>5798</v>
      </c>
      <c r="I161" s="8" t="s">
        <v>18</v>
      </c>
      <c r="J161" s="6">
        <f>tblBookings[[#This Row],[CheckOut]]-tblBookings[[#This Row],[CheckIn]]</f>
        <v>2</v>
      </c>
      <c r="K161" s="6">
        <f>YEAR(tblBookings[[#This Row],[CheckIn]])</f>
        <v>2028</v>
      </c>
      <c r="L161" s="14" t="str">
        <f>TEXT(tblBookings[[#This Row],[CheckIn]],"MMM")</f>
        <v>Mar</v>
      </c>
      <c r="M161" s="14">
        <f>MONTH(tblBookings[[#This Row],[CheckIn]])</f>
        <v>3</v>
      </c>
      <c r="N161" s="14" t="str">
        <f>"Q"&amp;ROUNDUP(MONTH(tblBookings[[#This Row],[CheckIn]])/3,0)</f>
        <v>Q1</v>
      </c>
    </row>
    <row r="162" spans="1:14" x14ac:dyDescent="0.3">
      <c r="A162" s="1" t="s">
        <v>608</v>
      </c>
      <c r="B162" s="2">
        <v>204</v>
      </c>
      <c r="C162" s="2" t="s">
        <v>293</v>
      </c>
      <c r="D162" s="3" t="s">
        <v>609</v>
      </c>
      <c r="E162" s="3" t="s">
        <v>610</v>
      </c>
      <c r="F162" s="2">
        <v>2</v>
      </c>
      <c r="G162" s="2">
        <v>9123457101</v>
      </c>
      <c r="H162" s="2">
        <v>16796</v>
      </c>
      <c r="I162" s="4" t="s">
        <v>13</v>
      </c>
      <c r="J162" s="6">
        <f>tblBookings[[#This Row],[CheckOut]]-tblBookings[[#This Row],[CheckIn]]</f>
        <v>4</v>
      </c>
      <c r="K162" s="6">
        <f>YEAR(tblBookings[[#This Row],[CheckIn]])</f>
        <v>2028</v>
      </c>
      <c r="L162" s="14" t="str">
        <f>TEXT(tblBookings[[#This Row],[CheckIn]],"MMM")</f>
        <v>Apr</v>
      </c>
      <c r="M162" s="14">
        <f>MONTH(tblBookings[[#This Row],[CheckIn]])</f>
        <v>4</v>
      </c>
      <c r="N162" s="14" t="str">
        <f>"Q"&amp;ROUNDUP(MONTH(tblBookings[[#This Row],[CheckIn]])/3,0)</f>
        <v>Q2</v>
      </c>
    </row>
    <row r="163" spans="1:14" x14ac:dyDescent="0.3">
      <c r="A163" s="5" t="s">
        <v>611</v>
      </c>
      <c r="B163" s="6">
        <v>202</v>
      </c>
      <c r="C163" s="6" t="s">
        <v>612</v>
      </c>
      <c r="D163" s="7" t="s">
        <v>610</v>
      </c>
      <c r="E163" s="7" t="s">
        <v>613</v>
      </c>
      <c r="F163" s="6">
        <v>2</v>
      </c>
      <c r="G163" s="6">
        <v>9234568212</v>
      </c>
      <c r="H163" s="6">
        <v>9996</v>
      </c>
      <c r="I163" s="8" t="s">
        <v>13</v>
      </c>
      <c r="J163" s="6">
        <f>tblBookings[[#This Row],[CheckOut]]-tblBookings[[#This Row],[CheckIn]]</f>
        <v>4</v>
      </c>
      <c r="K163" s="6">
        <f>YEAR(tblBookings[[#This Row],[CheckIn]])</f>
        <v>2028</v>
      </c>
      <c r="L163" s="14" t="str">
        <f>TEXT(tblBookings[[#This Row],[CheckIn]],"MMM")</f>
        <v>Apr</v>
      </c>
      <c r="M163" s="14">
        <f>MONTH(tblBookings[[#This Row],[CheckIn]])</f>
        <v>4</v>
      </c>
      <c r="N163" s="14" t="str">
        <f>"Q"&amp;ROUNDUP(MONTH(tblBookings[[#This Row],[CheckIn]])/3,0)</f>
        <v>Q2</v>
      </c>
    </row>
    <row r="164" spans="1:14" x14ac:dyDescent="0.3">
      <c r="A164" s="1" t="s">
        <v>614</v>
      </c>
      <c r="B164" s="2">
        <v>203</v>
      </c>
      <c r="C164" s="2" t="s">
        <v>312</v>
      </c>
      <c r="D164" s="3" t="s">
        <v>615</v>
      </c>
      <c r="E164" s="3" t="s">
        <v>616</v>
      </c>
      <c r="F164" s="2">
        <v>4</v>
      </c>
      <c r="G164" s="2">
        <v>9345679323</v>
      </c>
      <c r="H164" s="2">
        <v>11097</v>
      </c>
      <c r="I164" s="4" t="s">
        <v>18</v>
      </c>
      <c r="J164" s="6">
        <f>tblBookings[[#This Row],[CheckOut]]-tblBookings[[#This Row],[CheckIn]]</f>
        <v>3</v>
      </c>
      <c r="K164" s="6">
        <f>YEAR(tblBookings[[#This Row],[CheckIn]])</f>
        <v>2028</v>
      </c>
      <c r="L164" s="14" t="str">
        <f>TEXT(tblBookings[[#This Row],[CheckIn]],"MMM")</f>
        <v>Apr</v>
      </c>
      <c r="M164" s="14">
        <f>MONTH(tblBookings[[#This Row],[CheckIn]])</f>
        <v>4</v>
      </c>
      <c r="N164" s="14" t="str">
        <f>"Q"&amp;ROUNDUP(MONTH(tblBookings[[#This Row],[CheckIn]])/3,0)</f>
        <v>Q2</v>
      </c>
    </row>
    <row r="165" spans="1:14" x14ac:dyDescent="0.3">
      <c r="A165" s="5" t="s">
        <v>617</v>
      </c>
      <c r="B165" s="6">
        <v>206</v>
      </c>
      <c r="C165" s="6" t="s">
        <v>116</v>
      </c>
      <c r="D165" s="7" t="s">
        <v>618</v>
      </c>
      <c r="E165" s="7" t="s">
        <v>619</v>
      </c>
      <c r="F165" s="6">
        <v>3</v>
      </c>
      <c r="G165" s="6">
        <v>9456780434</v>
      </c>
      <c r="H165" s="6">
        <v>17997</v>
      </c>
      <c r="I165" s="8" t="s">
        <v>13</v>
      </c>
      <c r="J165" s="6">
        <f>tblBookings[[#This Row],[CheckOut]]-tblBookings[[#This Row],[CheckIn]]</f>
        <v>3</v>
      </c>
      <c r="K165" s="6">
        <f>YEAR(tblBookings[[#This Row],[CheckIn]])</f>
        <v>2028</v>
      </c>
      <c r="L165" s="14" t="str">
        <f>TEXT(tblBookings[[#This Row],[CheckIn]],"MMM")</f>
        <v>Apr</v>
      </c>
      <c r="M165" s="14">
        <f>MONTH(tblBookings[[#This Row],[CheckIn]])</f>
        <v>4</v>
      </c>
      <c r="N165" s="14" t="str">
        <f>"Q"&amp;ROUNDUP(MONTH(tblBookings[[#This Row],[CheckIn]])/3,0)</f>
        <v>Q2</v>
      </c>
    </row>
    <row r="166" spans="1:14" x14ac:dyDescent="0.3">
      <c r="A166" s="1" t="s">
        <v>620</v>
      </c>
      <c r="B166" s="2">
        <v>205</v>
      </c>
      <c r="C166" s="2" t="s">
        <v>621</v>
      </c>
      <c r="D166" s="3" t="s">
        <v>622</v>
      </c>
      <c r="E166" s="3" t="s">
        <v>623</v>
      </c>
      <c r="F166" s="2">
        <v>2</v>
      </c>
      <c r="G166" s="2">
        <v>9567891545</v>
      </c>
      <c r="H166" s="2">
        <v>4398</v>
      </c>
      <c r="I166" s="4" t="s">
        <v>13</v>
      </c>
      <c r="J166" s="6">
        <f>tblBookings[[#This Row],[CheckOut]]-tblBookings[[#This Row],[CheckIn]]</f>
        <v>2</v>
      </c>
      <c r="K166" s="6">
        <f>YEAR(tblBookings[[#This Row],[CheckIn]])</f>
        <v>2028</v>
      </c>
      <c r="L166" s="14" t="str">
        <f>TEXT(tblBookings[[#This Row],[CheckIn]],"MMM")</f>
        <v>Apr</v>
      </c>
      <c r="M166" s="14">
        <f>MONTH(tblBookings[[#This Row],[CheckIn]])</f>
        <v>4</v>
      </c>
      <c r="N166" s="14" t="str">
        <f>"Q"&amp;ROUNDUP(MONTH(tblBookings[[#This Row],[CheckIn]])/3,0)</f>
        <v>Q2</v>
      </c>
    </row>
    <row r="167" spans="1:14" x14ac:dyDescent="0.3">
      <c r="A167" s="5" t="s">
        <v>624</v>
      </c>
      <c r="B167" s="6">
        <v>201</v>
      </c>
      <c r="C167" s="6" t="s">
        <v>625</v>
      </c>
      <c r="D167" s="7" t="s">
        <v>626</v>
      </c>
      <c r="E167" s="7" t="s">
        <v>627</v>
      </c>
      <c r="F167" s="6">
        <v>2</v>
      </c>
      <c r="G167" s="6">
        <v>9678902656</v>
      </c>
      <c r="H167" s="6">
        <v>11596</v>
      </c>
      <c r="I167" s="8" t="s">
        <v>18</v>
      </c>
      <c r="J167" s="6">
        <f>tblBookings[[#This Row],[CheckOut]]-tblBookings[[#This Row],[CheckIn]]</f>
        <v>4</v>
      </c>
      <c r="K167" s="6">
        <f>YEAR(tblBookings[[#This Row],[CheckIn]])</f>
        <v>2028</v>
      </c>
      <c r="L167" s="14" t="str">
        <f>TEXT(tblBookings[[#This Row],[CheckIn]],"MMM")</f>
        <v>Apr</v>
      </c>
      <c r="M167" s="14">
        <f>MONTH(tblBookings[[#This Row],[CheckIn]])</f>
        <v>4</v>
      </c>
      <c r="N167" s="14" t="str">
        <f>"Q"&amp;ROUNDUP(MONTH(tblBookings[[#This Row],[CheckIn]])/3,0)</f>
        <v>Q2</v>
      </c>
    </row>
    <row r="168" spans="1:14" x14ac:dyDescent="0.3">
      <c r="A168" s="1" t="s">
        <v>628</v>
      </c>
      <c r="B168" s="2">
        <v>204</v>
      </c>
      <c r="C168" s="2" t="s">
        <v>629</v>
      </c>
      <c r="D168" s="3" t="s">
        <v>630</v>
      </c>
      <c r="E168" s="3" t="s">
        <v>631</v>
      </c>
      <c r="F168" s="2">
        <v>2</v>
      </c>
      <c r="G168" s="2">
        <v>9789013767</v>
      </c>
      <c r="H168" s="2">
        <v>12597</v>
      </c>
      <c r="I168" s="4" t="s">
        <v>13</v>
      </c>
      <c r="J168" s="6">
        <f>tblBookings[[#This Row],[CheckOut]]-tblBookings[[#This Row],[CheckIn]]</f>
        <v>3</v>
      </c>
      <c r="K168" s="6">
        <f>YEAR(tblBookings[[#This Row],[CheckIn]])</f>
        <v>2028</v>
      </c>
      <c r="L168" s="14" t="str">
        <f>TEXT(tblBookings[[#This Row],[CheckIn]],"MMM")</f>
        <v>May</v>
      </c>
      <c r="M168" s="14">
        <f>MONTH(tblBookings[[#This Row],[CheckIn]])</f>
        <v>5</v>
      </c>
      <c r="N168" s="14" t="str">
        <f>"Q"&amp;ROUNDUP(MONTH(tblBookings[[#This Row],[CheckIn]])/3,0)</f>
        <v>Q2</v>
      </c>
    </row>
    <row r="169" spans="1:14" x14ac:dyDescent="0.3">
      <c r="A169" s="5" t="s">
        <v>632</v>
      </c>
      <c r="B169" s="6">
        <v>202</v>
      </c>
      <c r="C169" s="6" t="s">
        <v>633</v>
      </c>
      <c r="D169" s="7" t="s">
        <v>634</v>
      </c>
      <c r="E169" s="7" t="s">
        <v>635</v>
      </c>
      <c r="F169" s="6">
        <v>2</v>
      </c>
      <c r="G169" s="6">
        <v>9890124878</v>
      </c>
      <c r="H169" s="6">
        <v>7497</v>
      </c>
      <c r="I169" s="8" t="s">
        <v>13</v>
      </c>
      <c r="J169" s="6">
        <f>tblBookings[[#This Row],[CheckOut]]-tblBookings[[#This Row],[CheckIn]]</f>
        <v>3</v>
      </c>
      <c r="K169" s="6">
        <f>YEAR(tblBookings[[#This Row],[CheckIn]])</f>
        <v>2028</v>
      </c>
      <c r="L169" s="14" t="str">
        <f>TEXT(tblBookings[[#This Row],[CheckIn]],"MMM")</f>
        <v>May</v>
      </c>
      <c r="M169" s="14">
        <f>MONTH(tblBookings[[#This Row],[CheckIn]])</f>
        <v>5</v>
      </c>
      <c r="N169" s="14" t="str">
        <f>"Q"&amp;ROUNDUP(MONTH(tblBookings[[#This Row],[CheckIn]])/3,0)</f>
        <v>Q2</v>
      </c>
    </row>
    <row r="170" spans="1:14" x14ac:dyDescent="0.3">
      <c r="A170" s="1" t="s">
        <v>636</v>
      </c>
      <c r="B170" s="2">
        <v>203</v>
      </c>
      <c r="C170" s="2" t="s">
        <v>259</v>
      </c>
      <c r="D170" s="3" t="s">
        <v>637</v>
      </c>
      <c r="E170" s="3" t="s">
        <v>638</v>
      </c>
      <c r="F170" s="2">
        <v>3</v>
      </c>
      <c r="G170" s="2">
        <v>9901235989</v>
      </c>
      <c r="H170" s="2">
        <v>7398</v>
      </c>
      <c r="I170" s="4" t="s">
        <v>18</v>
      </c>
      <c r="J170" s="6">
        <f>tblBookings[[#This Row],[CheckOut]]-tblBookings[[#This Row],[CheckIn]]</f>
        <v>2</v>
      </c>
      <c r="K170" s="6">
        <f>YEAR(tblBookings[[#This Row],[CheckIn]])</f>
        <v>2028</v>
      </c>
      <c r="L170" s="14" t="str">
        <f>TEXT(tblBookings[[#This Row],[CheckIn]],"MMM")</f>
        <v>May</v>
      </c>
      <c r="M170" s="14">
        <f>MONTH(tblBookings[[#This Row],[CheckIn]])</f>
        <v>5</v>
      </c>
      <c r="N170" s="14" t="str">
        <f>"Q"&amp;ROUNDUP(MONTH(tblBookings[[#This Row],[CheckIn]])/3,0)</f>
        <v>Q2</v>
      </c>
    </row>
    <row r="171" spans="1:14" x14ac:dyDescent="0.3">
      <c r="A171" s="5" t="s">
        <v>639</v>
      </c>
      <c r="B171" s="6">
        <v>206</v>
      </c>
      <c r="C171" s="6" t="s">
        <v>640</v>
      </c>
      <c r="D171" s="7" t="s">
        <v>641</v>
      </c>
      <c r="E171" s="7" t="s">
        <v>642</v>
      </c>
      <c r="F171" s="6">
        <v>3</v>
      </c>
      <c r="G171" s="6">
        <v>9012346090</v>
      </c>
      <c r="H171" s="6">
        <v>17997</v>
      </c>
      <c r="I171" s="8" t="s">
        <v>13</v>
      </c>
      <c r="J171" s="6">
        <f>tblBookings[[#This Row],[CheckOut]]-tblBookings[[#This Row],[CheckIn]]</f>
        <v>3</v>
      </c>
      <c r="K171" s="6">
        <f>YEAR(tblBookings[[#This Row],[CheckIn]])</f>
        <v>2028</v>
      </c>
      <c r="L171" s="14" t="str">
        <f>TEXT(tblBookings[[#This Row],[CheckIn]],"MMM")</f>
        <v>May</v>
      </c>
      <c r="M171" s="14">
        <f>MONTH(tblBookings[[#This Row],[CheckIn]])</f>
        <v>5</v>
      </c>
      <c r="N171" s="14" t="str">
        <f>"Q"&amp;ROUNDUP(MONTH(tblBookings[[#This Row],[CheckIn]])/3,0)</f>
        <v>Q2</v>
      </c>
    </row>
    <row r="172" spans="1:14" x14ac:dyDescent="0.3">
      <c r="A172" s="1" t="s">
        <v>643</v>
      </c>
      <c r="B172" s="2">
        <v>205</v>
      </c>
      <c r="C172" s="2" t="s">
        <v>517</v>
      </c>
      <c r="D172" s="3" t="s">
        <v>644</v>
      </c>
      <c r="E172" s="3" t="s">
        <v>645</v>
      </c>
      <c r="F172" s="2">
        <v>2</v>
      </c>
      <c r="G172" s="2">
        <v>9123457101</v>
      </c>
      <c r="H172" s="2">
        <v>6597</v>
      </c>
      <c r="I172" s="4" t="s">
        <v>13</v>
      </c>
      <c r="J172" s="6">
        <f>tblBookings[[#This Row],[CheckOut]]-tblBookings[[#This Row],[CheckIn]]</f>
        <v>3</v>
      </c>
      <c r="K172" s="6">
        <f>YEAR(tblBookings[[#This Row],[CheckIn]])</f>
        <v>2028</v>
      </c>
      <c r="L172" s="14" t="str">
        <f>TEXT(tblBookings[[#This Row],[CheckIn]],"MMM")</f>
        <v>May</v>
      </c>
      <c r="M172" s="14">
        <f>MONTH(tblBookings[[#This Row],[CheckIn]])</f>
        <v>5</v>
      </c>
      <c r="N172" s="14" t="str">
        <f>"Q"&amp;ROUNDUP(MONTH(tblBookings[[#This Row],[CheckIn]])/3,0)</f>
        <v>Q2</v>
      </c>
    </row>
    <row r="173" spans="1:14" x14ac:dyDescent="0.3">
      <c r="A173" s="5" t="s">
        <v>646</v>
      </c>
      <c r="B173" s="6">
        <v>201</v>
      </c>
      <c r="C173" s="6" t="s">
        <v>647</v>
      </c>
      <c r="D173" s="7" t="s">
        <v>648</v>
      </c>
      <c r="E173" s="7" t="s">
        <v>649</v>
      </c>
      <c r="F173" s="6">
        <v>2</v>
      </c>
      <c r="G173" s="6">
        <v>9234568212</v>
      </c>
      <c r="H173" s="6">
        <v>5798</v>
      </c>
      <c r="I173" s="8" t="s">
        <v>18</v>
      </c>
      <c r="J173" s="6">
        <f>tblBookings[[#This Row],[CheckOut]]-tblBookings[[#This Row],[CheckIn]]</f>
        <v>2</v>
      </c>
      <c r="K173" s="6">
        <f>YEAR(tblBookings[[#This Row],[CheckIn]])</f>
        <v>2028</v>
      </c>
      <c r="L173" s="14" t="str">
        <f>TEXT(tblBookings[[#This Row],[CheckIn]],"MMM")</f>
        <v>May</v>
      </c>
      <c r="M173" s="14">
        <f>MONTH(tblBookings[[#This Row],[CheckIn]])</f>
        <v>5</v>
      </c>
      <c r="N173" s="14" t="str">
        <f>"Q"&amp;ROUNDUP(MONTH(tblBookings[[#This Row],[CheckIn]])/3,0)</f>
        <v>Q2</v>
      </c>
    </row>
    <row r="174" spans="1:14" x14ac:dyDescent="0.3">
      <c r="A174" s="1" t="s">
        <v>650</v>
      </c>
      <c r="B174" s="2">
        <v>204</v>
      </c>
      <c r="C174" s="2" t="s">
        <v>651</v>
      </c>
      <c r="D174" s="3" t="s">
        <v>652</v>
      </c>
      <c r="E174" s="3" t="s">
        <v>653</v>
      </c>
      <c r="F174" s="2">
        <v>2</v>
      </c>
      <c r="G174" s="2">
        <v>9345679323</v>
      </c>
      <c r="H174" s="2">
        <v>16796</v>
      </c>
      <c r="I174" s="4" t="s">
        <v>13</v>
      </c>
      <c r="J174" s="6">
        <f>tblBookings[[#This Row],[CheckOut]]-tblBookings[[#This Row],[CheckIn]]</f>
        <v>4</v>
      </c>
      <c r="K174" s="6">
        <f>YEAR(tblBookings[[#This Row],[CheckIn]])</f>
        <v>2028</v>
      </c>
      <c r="L174" s="14" t="str">
        <f>TEXT(tblBookings[[#This Row],[CheckIn]],"MMM")</f>
        <v>Jun</v>
      </c>
      <c r="M174" s="14">
        <f>MONTH(tblBookings[[#This Row],[CheckIn]])</f>
        <v>6</v>
      </c>
      <c r="N174" s="14" t="str">
        <f>"Q"&amp;ROUNDUP(MONTH(tblBookings[[#This Row],[CheckIn]])/3,0)</f>
        <v>Q2</v>
      </c>
    </row>
    <row r="175" spans="1:14" x14ac:dyDescent="0.3">
      <c r="A175" s="5" t="s">
        <v>654</v>
      </c>
      <c r="B175" s="6">
        <v>202</v>
      </c>
      <c r="C175" s="6" t="s">
        <v>178</v>
      </c>
      <c r="D175" s="7" t="s">
        <v>653</v>
      </c>
      <c r="E175" s="7" t="s">
        <v>655</v>
      </c>
      <c r="F175" s="6">
        <v>2</v>
      </c>
      <c r="G175" s="6">
        <v>9456780434</v>
      </c>
      <c r="H175" s="6">
        <v>7497</v>
      </c>
      <c r="I175" s="8" t="s">
        <v>13</v>
      </c>
      <c r="J175" s="6">
        <f>tblBookings[[#This Row],[CheckOut]]-tblBookings[[#This Row],[CheckIn]]</f>
        <v>3</v>
      </c>
      <c r="K175" s="6">
        <f>YEAR(tblBookings[[#This Row],[CheckIn]])</f>
        <v>2028</v>
      </c>
      <c r="L175" s="14" t="str">
        <f>TEXT(tblBookings[[#This Row],[CheckIn]],"MMM")</f>
        <v>Jun</v>
      </c>
      <c r="M175" s="14">
        <f>MONTH(tblBookings[[#This Row],[CheckIn]])</f>
        <v>6</v>
      </c>
      <c r="N175" s="14" t="str">
        <f>"Q"&amp;ROUNDUP(MONTH(tblBookings[[#This Row],[CheckIn]])/3,0)</f>
        <v>Q2</v>
      </c>
    </row>
    <row r="176" spans="1:14" x14ac:dyDescent="0.3">
      <c r="A176" s="1" t="s">
        <v>656</v>
      </c>
      <c r="B176" s="2">
        <v>203</v>
      </c>
      <c r="C176" s="2" t="s">
        <v>221</v>
      </c>
      <c r="D176" s="3" t="s">
        <v>657</v>
      </c>
      <c r="E176" s="3" t="s">
        <v>658</v>
      </c>
      <c r="F176" s="2">
        <v>4</v>
      </c>
      <c r="G176" s="2">
        <v>9567891545</v>
      </c>
      <c r="H176" s="2">
        <v>11097</v>
      </c>
      <c r="I176" s="4" t="s">
        <v>18</v>
      </c>
      <c r="J176" s="6">
        <f>tblBookings[[#This Row],[CheckOut]]-tblBookings[[#This Row],[CheckIn]]</f>
        <v>3</v>
      </c>
      <c r="K176" s="6">
        <f>YEAR(tblBookings[[#This Row],[CheckIn]])</f>
        <v>2028</v>
      </c>
      <c r="L176" s="14" t="str">
        <f>TEXT(tblBookings[[#This Row],[CheckIn]],"MMM")</f>
        <v>Jun</v>
      </c>
      <c r="M176" s="14">
        <f>MONTH(tblBookings[[#This Row],[CheckIn]])</f>
        <v>6</v>
      </c>
      <c r="N176" s="14" t="str">
        <f>"Q"&amp;ROUNDUP(MONTH(tblBookings[[#This Row],[CheckIn]])/3,0)</f>
        <v>Q2</v>
      </c>
    </row>
    <row r="177" spans="1:14" x14ac:dyDescent="0.3">
      <c r="A177" s="5" t="s">
        <v>659</v>
      </c>
      <c r="B177" s="6">
        <v>206</v>
      </c>
      <c r="C177" s="6" t="s">
        <v>660</v>
      </c>
      <c r="D177" s="7" t="s">
        <v>661</v>
      </c>
      <c r="E177" s="7" t="s">
        <v>662</v>
      </c>
      <c r="F177" s="6">
        <v>3</v>
      </c>
      <c r="G177" s="6">
        <v>9678902656</v>
      </c>
      <c r="H177" s="6">
        <v>29995</v>
      </c>
      <c r="I177" s="8" t="s">
        <v>13</v>
      </c>
      <c r="J177" s="6">
        <f>tblBookings[[#This Row],[CheckOut]]-tblBookings[[#This Row],[CheckIn]]</f>
        <v>5</v>
      </c>
      <c r="K177" s="6">
        <f>YEAR(tblBookings[[#This Row],[CheckIn]])</f>
        <v>2028</v>
      </c>
      <c r="L177" s="14" t="str">
        <f>TEXT(tblBookings[[#This Row],[CheckIn]],"MMM")</f>
        <v>Jun</v>
      </c>
      <c r="M177" s="14">
        <f>MONTH(tblBookings[[#This Row],[CheckIn]])</f>
        <v>6</v>
      </c>
      <c r="N177" s="14" t="str">
        <f>"Q"&amp;ROUNDUP(MONTH(tblBookings[[#This Row],[CheckIn]])/3,0)</f>
        <v>Q2</v>
      </c>
    </row>
    <row r="178" spans="1:14" x14ac:dyDescent="0.3">
      <c r="A178" s="1" t="s">
        <v>663</v>
      </c>
      <c r="B178" s="2">
        <v>205</v>
      </c>
      <c r="C178" s="2" t="s">
        <v>664</v>
      </c>
      <c r="D178" s="3" t="s">
        <v>662</v>
      </c>
      <c r="E178" s="3" t="s">
        <v>665</v>
      </c>
      <c r="F178" s="2">
        <v>2</v>
      </c>
      <c r="G178" s="2">
        <v>9789013767</v>
      </c>
      <c r="H178" s="2">
        <v>4398</v>
      </c>
      <c r="I178" s="4" t="s">
        <v>13</v>
      </c>
      <c r="J178" s="6">
        <f>tblBookings[[#This Row],[CheckOut]]-tblBookings[[#This Row],[CheckIn]]</f>
        <v>2</v>
      </c>
      <c r="K178" s="6">
        <f>YEAR(tblBookings[[#This Row],[CheckIn]])</f>
        <v>2028</v>
      </c>
      <c r="L178" s="14" t="str">
        <f>TEXT(tblBookings[[#This Row],[CheckIn]],"MMM")</f>
        <v>Jun</v>
      </c>
      <c r="M178" s="14">
        <f>MONTH(tblBookings[[#This Row],[CheckIn]])</f>
        <v>6</v>
      </c>
      <c r="N178" s="14" t="str">
        <f>"Q"&amp;ROUNDUP(MONTH(tblBookings[[#This Row],[CheckIn]])/3,0)</f>
        <v>Q2</v>
      </c>
    </row>
    <row r="179" spans="1:14" x14ac:dyDescent="0.3">
      <c r="A179" s="5" t="s">
        <v>666</v>
      </c>
      <c r="B179" s="6">
        <v>201</v>
      </c>
      <c r="C179" s="6" t="s">
        <v>44</v>
      </c>
      <c r="D179" s="7" t="s">
        <v>667</v>
      </c>
      <c r="E179" s="7" t="s">
        <v>668</v>
      </c>
      <c r="F179" s="6">
        <v>2</v>
      </c>
      <c r="G179" s="6">
        <v>9890124878</v>
      </c>
      <c r="H179" s="6">
        <v>11596</v>
      </c>
      <c r="I179" s="8" t="s">
        <v>18</v>
      </c>
      <c r="J179" s="6">
        <f>tblBookings[[#This Row],[CheckOut]]-tblBookings[[#This Row],[CheckIn]]</f>
        <v>4</v>
      </c>
      <c r="K179" s="6">
        <f>YEAR(tblBookings[[#This Row],[CheckIn]])</f>
        <v>2028</v>
      </c>
      <c r="L179" s="14" t="str">
        <f>TEXT(tblBookings[[#This Row],[CheckIn]],"MMM")</f>
        <v>Jun</v>
      </c>
      <c r="M179" s="14">
        <f>MONTH(tblBookings[[#This Row],[CheckIn]])</f>
        <v>6</v>
      </c>
      <c r="N179" s="14" t="str">
        <f>"Q"&amp;ROUNDUP(MONTH(tblBookings[[#This Row],[CheckIn]])/3,0)</f>
        <v>Q2</v>
      </c>
    </row>
    <row r="180" spans="1:14" x14ac:dyDescent="0.3">
      <c r="A180" s="1" t="s">
        <v>669</v>
      </c>
      <c r="B180" s="2">
        <v>204</v>
      </c>
      <c r="C180" s="2" t="s">
        <v>252</v>
      </c>
      <c r="D180" s="3" t="s">
        <v>670</v>
      </c>
      <c r="E180" s="3" t="s">
        <v>671</v>
      </c>
      <c r="F180" s="2">
        <v>2</v>
      </c>
      <c r="G180" s="2">
        <v>9901235989</v>
      </c>
      <c r="H180" s="2">
        <v>8398</v>
      </c>
      <c r="I180" s="4" t="s">
        <v>13</v>
      </c>
      <c r="J180" s="6">
        <f>tblBookings[[#This Row],[CheckOut]]-tblBookings[[#This Row],[CheckIn]]</f>
        <v>2</v>
      </c>
      <c r="K180" s="6">
        <f>YEAR(tblBookings[[#This Row],[CheckIn]])</f>
        <v>2028</v>
      </c>
      <c r="L180" s="14" t="str">
        <f>TEXT(tblBookings[[#This Row],[CheckIn]],"MMM")</f>
        <v>Jul</v>
      </c>
      <c r="M180" s="14">
        <f>MONTH(tblBookings[[#This Row],[CheckIn]])</f>
        <v>7</v>
      </c>
      <c r="N180" s="14" t="str">
        <f>"Q"&amp;ROUNDUP(MONTH(tblBookings[[#This Row],[CheckIn]])/3,0)</f>
        <v>Q3</v>
      </c>
    </row>
    <row r="181" spans="1:14" x14ac:dyDescent="0.3">
      <c r="A181" s="5" t="s">
        <v>672</v>
      </c>
      <c r="B181" s="6">
        <v>202</v>
      </c>
      <c r="C181" s="6" t="s">
        <v>248</v>
      </c>
      <c r="D181" s="7" t="s">
        <v>673</v>
      </c>
      <c r="E181" s="7" t="s">
        <v>674</v>
      </c>
      <c r="F181" s="6">
        <v>2</v>
      </c>
      <c r="G181" s="6">
        <v>9012346090</v>
      </c>
      <c r="H181" s="6">
        <v>7497</v>
      </c>
      <c r="I181" s="8" t="s">
        <v>13</v>
      </c>
      <c r="J181" s="6">
        <f>tblBookings[[#This Row],[CheckOut]]-tblBookings[[#This Row],[CheckIn]]</f>
        <v>3</v>
      </c>
      <c r="K181" s="6">
        <f>YEAR(tblBookings[[#This Row],[CheckIn]])</f>
        <v>2028</v>
      </c>
      <c r="L181" s="14" t="str">
        <f>TEXT(tblBookings[[#This Row],[CheckIn]],"MMM")</f>
        <v>Jul</v>
      </c>
      <c r="M181" s="14">
        <f>MONTH(tblBookings[[#This Row],[CheckIn]])</f>
        <v>7</v>
      </c>
      <c r="N181" s="14" t="str">
        <f>"Q"&amp;ROUNDUP(MONTH(tblBookings[[#This Row],[CheckIn]])/3,0)</f>
        <v>Q3</v>
      </c>
    </row>
    <row r="182" spans="1:14" x14ac:dyDescent="0.3">
      <c r="A182" s="1" t="s">
        <v>675</v>
      </c>
      <c r="B182" s="2">
        <v>203</v>
      </c>
      <c r="C182" s="2" t="s">
        <v>676</v>
      </c>
      <c r="D182" s="3" t="s">
        <v>677</v>
      </c>
      <c r="E182" s="3" t="s">
        <v>678</v>
      </c>
      <c r="F182" s="2">
        <v>4</v>
      </c>
      <c r="G182" s="2">
        <v>9123457101</v>
      </c>
      <c r="H182" s="2">
        <v>14796</v>
      </c>
      <c r="I182" s="4" t="s">
        <v>18</v>
      </c>
      <c r="J182" s="6">
        <f>tblBookings[[#This Row],[CheckOut]]-tblBookings[[#This Row],[CheckIn]]</f>
        <v>4</v>
      </c>
      <c r="K182" s="6">
        <f>YEAR(tblBookings[[#This Row],[CheckIn]])</f>
        <v>2028</v>
      </c>
      <c r="L182" s="14" t="str">
        <f>TEXT(tblBookings[[#This Row],[CheckIn]],"MMM")</f>
        <v>Jul</v>
      </c>
      <c r="M182" s="14">
        <f>MONTH(tblBookings[[#This Row],[CheckIn]])</f>
        <v>7</v>
      </c>
      <c r="N182" s="14" t="str">
        <f>"Q"&amp;ROUNDUP(MONTH(tblBookings[[#This Row],[CheckIn]])/3,0)</f>
        <v>Q3</v>
      </c>
    </row>
    <row r="183" spans="1:14" x14ac:dyDescent="0.3">
      <c r="A183" s="5" t="s">
        <v>679</v>
      </c>
      <c r="B183" s="6">
        <v>206</v>
      </c>
      <c r="C183" s="6" t="s">
        <v>364</v>
      </c>
      <c r="D183" s="7" t="s">
        <v>680</v>
      </c>
      <c r="E183" s="7" t="s">
        <v>681</v>
      </c>
      <c r="F183" s="6">
        <v>3</v>
      </c>
      <c r="G183" s="6">
        <v>9234568212</v>
      </c>
      <c r="H183" s="6">
        <v>17997</v>
      </c>
      <c r="I183" s="8" t="s">
        <v>13</v>
      </c>
      <c r="J183" s="6">
        <f>tblBookings[[#This Row],[CheckOut]]-tblBookings[[#This Row],[CheckIn]]</f>
        <v>3</v>
      </c>
      <c r="K183" s="6">
        <f>YEAR(tblBookings[[#This Row],[CheckIn]])</f>
        <v>2028</v>
      </c>
      <c r="L183" s="14" t="str">
        <f>TEXT(tblBookings[[#This Row],[CheckIn]],"MMM")</f>
        <v>Jul</v>
      </c>
      <c r="M183" s="14">
        <f>MONTH(tblBookings[[#This Row],[CheckIn]])</f>
        <v>7</v>
      </c>
      <c r="N183" s="14" t="str">
        <f>"Q"&amp;ROUNDUP(MONTH(tblBookings[[#This Row],[CheckIn]])/3,0)</f>
        <v>Q3</v>
      </c>
    </row>
    <row r="184" spans="1:14" x14ac:dyDescent="0.3">
      <c r="A184" s="1" t="s">
        <v>682</v>
      </c>
      <c r="B184" s="2">
        <v>205</v>
      </c>
      <c r="C184" s="2" t="s">
        <v>368</v>
      </c>
      <c r="D184" s="3" t="s">
        <v>683</v>
      </c>
      <c r="E184" s="3" t="s">
        <v>684</v>
      </c>
      <c r="F184" s="2">
        <v>2</v>
      </c>
      <c r="G184" s="2">
        <v>9345679323</v>
      </c>
      <c r="H184" s="2">
        <v>6597</v>
      </c>
      <c r="I184" s="4" t="s">
        <v>13</v>
      </c>
      <c r="J184" s="6">
        <f>tblBookings[[#This Row],[CheckOut]]-tblBookings[[#This Row],[CheckIn]]</f>
        <v>3</v>
      </c>
      <c r="K184" s="6">
        <f>YEAR(tblBookings[[#This Row],[CheckIn]])</f>
        <v>2028</v>
      </c>
      <c r="L184" s="14" t="str">
        <f>TEXT(tblBookings[[#This Row],[CheckIn]],"MMM")</f>
        <v>Jul</v>
      </c>
      <c r="M184" s="14">
        <f>MONTH(tblBookings[[#This Row],[CheckIn]])</f>
        <v>7</v>
      </c>
      <c r="N184" s="14" t="str">
        <f>"Q"&amp;ROUNDUP(MONTH(tblBookings[[#This Row],[CheckIn]])/3,0)</f>
        <v>Q3</v>
      </c>
    </row>
    <row r="185" spans="1:14" x14ac:dyDescent="0.3">
      <c r="A185" s="5" t="s">
        <v>685</v>
      </c>
      <c r="B185" s="6">
        <v>201</v>
      </c>
      <c r="C185" s="6" t="s">
        <v>372</v>
      </c>
      <c r="D185" s="7" t="s">
        <v>686</v>
      </c>
      <c r="E185" s="7" t="s">
        <v>687</v>
      </c>
      <c r="F185" s="6">
        <v>2</v>
      </c>
      <c r="G185" s="6">
        <v>9456780434</v>
      </c>
      <c r="H185" s="6">
        <v>5798</v>
      </c>
      <c r="I185" s="8" t="s">
        <v>18</v>
      </c>
      <c r="J185" s="6">
        <f>tblBookings[[#This Row],[CheckOut]]-tblBookings[[#This Row],[CheckIn]]</f>
        <v>2</v>
      </c>
      <c r="K185" s="6">
        <f>YEAR(tblBookings[[#This Row],[CheckIn]])</f>
        <v>2028</v>
      </c>
      <c r="L185" s="14" t="str">
        <f>TEXT(tblBookings[[#This Row],[CheckIn]],"MMM")</f>
        <v>Jul</v>
      </c>
      <c r="M185" s="14">
        <f>MONTH(tblBookings[[#This Row],[CheckIn]])</f>
        <v>7</v>
      </c>
      <c r="N185" s="14" t="str">
        <f>"Q"&amp;ROUNDUP(MONTH(tblBookings[[#This Row],[CheckIn]])/3,0)</f>
        <v>Q3</v>
      </c>
    </row>
    <row r="186" spans="1:14" x14ac:dyDescent="0.3">
      <c r="A186" s="1" t="s">
        <v>688</v>
      </c>
      <c r="B186" s="2">
        <v>204</v>
      </c>
      <c r="C186" s="2" t="s">
        <v>689</v>
      </c>
      <c r="D186" s="3" t="s">
        <v>690</v>
      </c>
      <c r="E186" s="3" t="s">
        <v>691</v>
      </c>
      <c r="F186" s="2">
        <v>2</v>
      </c>
      <c r="G186" s="2">
        <v>9567891545</v>
      </c>
      <c r="H186" s="2">
        <v>16796</v>
      </c>
      <c r="I186" s="4" t="s">
        <v>13</v>
      </c>
      <c r="J186" s="6">
        <f>tblBookings[[#This Row],[CheckOut]]-tblBookings[[#This Row],[CheckIn]]</f>
        <v>4</v>
      </c>
      <c r="K186" s="6">
        <f>YEAR(tblBookings[[#This Row],[CheckIn]])</f>
        <v>2028</v>
      </c>
      <c r="L186" s="14" t="str">
        <f>TEXT(tblBookings[[#This Row],[CheckIn]],"MMM")</f>
        <v>Aug</v>
      </c>
      <c r="M186" s="14">
        <f>MONTH(tblBookings[[#This Row],[CheckIn]])</f>
        <v>8</v>
      </c>
      <c r="N186" s="14" t="str">
        <f>"Q"&amp;ROUNDUP(MONTH(tblBookings[[#This Row],[CheckIn]])/3,0)</f>
        <v>Q3</v>
      </c>
    </row>
    <row r="187" spans="1:14" x14ac:dyDescent="0.3">
      <c r="A187" s="5" t="s">
        <v>692</v>
      </c>
      <c r="B187" s="6">
        <v>202</v>
      </c>
      <c r="C187" s="6" t="s">
        <v>693</v>
      </c>
      <c r="D187" s="7" t="s">
        <v>691</v>
      </c>
      <c r="E187" s="7" t="s">
        <v>694</v>
      </c>
      <c r="F187" s="6">
        <v>2</v>
      </c>
      <c r="G187" s="6">
        <v>9678902656</v>
      </c>
      <c r="H187" s="6">
        <v>9996</v>
      </c>
      <c r="I187" s="8" t="s">
        <v>13</v>
      </c>
      <c r="J187" s="6">
        <f>tblBookings[[#This Row],[CheckOut]]-tblBookings[[#This Row],[CheckIn]]</f>
        <v>4</v>
      </c>
      <c r="K187" s="6">
        <f>YEAR(tblBookings[[#This Row],[CheckIn]])</f>
        <v>2028</v>
      </c>
      <c r="L187" s="14" t="str">
        <f>TEXT(tblBookings[[#This Row],[CheckIn]],"MMM")</f>
        <v>Aug</v>
      </c>
      <c r="M187" s="14">
        <f>MONTH(tblBookings[[#This Row],[CheckIn]])</f>
        <v>8</v>
      </c>
      <c r="N187" s="14" t="str">
        <f>"Q"&amp;ROUNDUP(MONTH(tblBookings[[#This Row],[CheckIn]])/3,0)</f>
        <v>Q3</v>
      </c>
    </row>
    <row r="188" spans="1:14" x14ac:dyDescent="0.3">
      <c r="A188" s="1" t="s">
        <v>695</v>
      </c>
      <c r="B188" s="2">
        <v>203</v>
      </c>
      <c r="C188" s="2" t="s">
        <v>327</v>
      </c>
      <c r="D188" s="3" t="s">
        <v>696</v>
      </c>
      <c r="E188" s="3" t="s">
        <v>697</v>
      </c>
      <c r="F188" s="2">
        <v>4</v>
      </c>
      <c r="G188" s="2">
        <v>9789013767</v>
      </c>
      <c r="H188" s="2">
        <v>7398</v>
      </c>
      <c r="I188" s="4" t="s">
        <v>18</v>
      </c>
      <c r="J188" s="6">
        <f>tblBookings[[#This Row],[CheckOut]]-tblBookings[[#This Row],[CheckIn]]</f>
        <v>2</v>
      </c>
      <c r="K188" s="6">
        <f>YEAR(tblBookings[[#This Row],[CheckIn]])</f>
        <v>2028</v>
      </c>
      <c r="L188" s="14" t="str">
        <f>TEXT(tblBookings[[#This Row],[CheckIn]],"MMM")</f>
        <v>Aug</v>
      </c>
      <c r="M188" s="14">
        <f>MONTH(tblBookings[[#This Row],[CheckIn]])</f>
        <v>8</v>
      </c>
      <c r="N188" s="14" t="str">
        <f>"Q"&amp;ROUNDUP(MONTH(tblBookings[[#This Row],[CheckIn]])/3,0)</f>
        <v>Q3</v>
      </c>
    </row>
    <row r="189" spans="1:14" x14ac:dyDescent="0.3">
      <c r="A189" s="5" t="s">
        <v>698</v>
      </c>
      <c r="B189" s="6">
        <v>206</v>
      </c>
      <c r="C189" s="6" t="s">
        <v>699</v>
      </c>
      <c r="D189" s="7" t="s">
        <v>700</v>
      </c>
      <c r="E189" s="7" t="s">
        <v>701</v>
      </c>
      <c r="F189" s="6">
        <v>3</v>
      </c>
      <c r="G189" s="6">
        <v>9890124878</v>
      </c>
      <c r="H189" s="6">
        <v>17997</v>
      </c>
      <c r="I189" s="8" t="s">
        <v>13</v>
      </c>
      <c r="J189" s="6">
        <f>tblBookings[[#This Row],[CheckOut]]-tblBookings[[#This Row],[CheckIn]]</f>
        <v>3</v>
      </c>
      <c r="K189" s="6">
        <f>YEAR(tblBookings[[#This Row],[CheckIn]])</f>
        <v>2028</v>
      </c>
      <c r="L189" s="14" t="str">
        <f>TEXT(tblBookings[[#This Row],[CheckIn]],"MMM")</f>
        <v>Aug</v>
      </c>
      <c r="M189" s="14">
        <f>MONTH(tblBookings[[#This Row],[CheckIn]])</f>
        <v>8</v>
      </c>
      <c r="N189" s="14" t="str">
        <f>"Q"&amp;ROUNDUP(MONTH(tblBookings[[#This Row],[CheckIn]])/3,0)</f>
        <v>Q3</v>
      </c>
    </row>
    <row r="190" spans="1:14" x14ac:dyDescent="0.3">
      <c r="A190" s="1" t="s">
        <v>702</v>
      </c>
      <c r="B190" s="2">
        <v>205</v>
      </c>
      <c r="C190" s="2" t="s">
        <v>521</v>
      </c>
      <c r="D190" s="3" t="s">
        <v>703</v>
      </c>
      <c r="E190" s="3" t="s">
        <v>704</v>
      </c>
      <c r="F190" s="2">
        <v>2</v>
      </c>
      <c r="G190" s="2">
        <v>9901235989</v>
      </c>
      <c r="H190" s="2">
        <v>4398</v>
      </c>
      <c r="I190" s="4" t="s">
        <v>13</v>
      </c>
      <c r="J190" s="6">
        <f>tblBookings[[#This Row],[CheckOut]]-tblBookings[[#This Row],[CheckIn]]</f>
        <v>2</v>
      </c>
      <c r="K190" s="6">
        <f>YEAR(tblBookings[[#This Row],[CheckIn]])</f>
        <v>2028</v>
      </c>
      <c r="L190" s="14" t="str">
        <f>TEXT(tblBookings[[#This Row],[CheckIn]],"MMM")</f>
        <v>Aug</v>
      </c>
      <c r="M190" s="14">
        <f>MONTH(tblBookings[[#This Row],[CheckIn]])</f>
        <v>8</v>
      </c>
      <c r="N190" s="14" t="str">
        <f>"Q"&amp;ROUNDUP(MONTH(tblBookings[[#This Row],[CheckIn]])/3,0)</f>
        <v>Q3</v>
      </c>
    </row>
    <row r="191" spans="1:14" x14ac:dyDescent="0.3">
      <c r="A191" s="5" t="s">
        <v>705</v>
      </c>
      <c r="B191" s="6">
        <v>201</v>
      </c>
      <c r="C191" s="6" t="s">
        <v>706</v>
      </c>
      <c r="D191" s="7" t="s">
        <v>707</v>
      </c>
      <c r="E191" s="7" t="s">
        <v>708</v>
      </c>
      <c r="F191" s="6">
        <v>2</v>
      </c>
      <c r="G191" s="6">
        <v>9012346090</v>
      </c>
      <c r="H191" s="6">
        <v>11596</v>
      </c>
      <c r="I191" s="8" t="s">
        <v>18</v>
      </c>
      <c r="J191" s="6">
        <f>tblBookings[[#This Row],[CheckOut]]-tblBookings[[#This Row],[CheckIn]]</f>
        <v>4</v>
      </c>
      <c r="K191" s="6">
        <f>YEAR(tblBookings[[#This Row],[CheckIn]])</f>
        <v>2028</v>
      </c>
      <c r="L191" s="14" t="str">
        <f>TEXT(tblBookings[[#This Row],[CheckIn]],"MMM")</f>
        <v>Aug</v>
      </c>
      <c r="M191" s="14">
        <f>MONTH(tblBookings[[#This Row],[CheckIn]])</f>
        <v>8</v>
      </c>
      <c r="N191" s="14" t="str">
        <f>"Q"&amp;ROUNDUP(MONTH(tblBookings[[#This Row],[CheckIn]])/3,0)</f>
        <v>Q3</v>
      </c>
    </row>
    <row r="192" spans="1:14" x14ac:dyDescent="0.3">
      <c r="A192" s="1" t="s">
        <v>709</v>
      </c>
      <c r="B192" s="2">
        <v>204</v>
      </c>
      <c r="C192" s="2" t="s">
        <v>710</v>
      </c>
      <c r="D192" s="3" t="s">
        <v>711</v>
      </c>
      <c r="E192" s="3" t="s">
        <v>712</v>
      </c>
      <c r="F192" s="2">
        <v>2</v>
      </c>
      <c r="G192" s="2">
        <v>9123457101</v>
      </c>
      <c r="H192" s="2">
        <v>12597</v>
      </c>
      <c r="I192" s="4" t="s">
        <v>13</v>
      </c>
      <c r="J192" s="6">
        <f>tblBookings[[#This Row],[CheckOut]]-tblBookings[[#This Row],[CheckIn]]</f>
        <v>3</v>
      </c>
      <c r="K192" s="6">
        <f>YEAR(tblBookings[[#This Row],[CheckIn]])</f>
        <v>2028</v>
      </c>
      <c r="L192" s="14" t="str">
        <f>TEXT(tblBookings[[#This Row],[CheckIn]],"MMM")</f>
        <v>Sep</v>
      </c>
      <c r="M192" s="14">
        <f>MONTH(tblBookings[[#This Row],[CheckIn]])</f>
        <v>9</v>
      </c>
      <c r="N192" s="14" t="str">
        <f>"Q"&amp;ROUNDUP(MONTH(tblBookings[[#This Row],[CheckIn]])/3,0)</f>
        <v>Q3</v>
      </c>
    </row>
    <row r="193" spans="1:14" x14ac:dyDescent="0.3">
      <c r="A193" s="5" t="s">
        <v>713</v>
      </c>
      <c r="B193" s="6">
        <v>202</v>
      </c>
      <c r="C193" s="6" t="s">
        <v>714</v>
      </c>
      <c r="D193" s="7" t="s">
        <v>715</v>
      </c>
      <c r="E193" s="7" t="s">
        <v>716</v>
      </c>
      <c r="F193" s="6">
        <v>2</v>
      </c>
      <c r="G193" s="6">
        <v>9234568212</v>
      </c>
      <c r="H193" s="6">
        <v>7497</v>
      </c>
      <c r="I193" s="8" t="s">
        <v>13</v>
      </c>
      <c r="J193" s="6">
        <f>tblBookings[[#This Row],[CheckOut]]-tblBookings[[#This Row],[CheckIn]]</f>
        <v>3</v>
      </c>
      <c r="K193" s="6">
        <f>YEAR(tblBookings[[#This Row],[CheckIn]])</f>
        <v>2028</v>
      </c>
      <c r="L193" s="14" t="str">
        <f>TEXT(tblBookings[[#This Row],[CheckIn]],"MMM")</f>
        <v>Sep</v>
      </c>
      <c r="M193" s="14">
        <f>MONTH(tblBookings[[#This Row],[CheckIn]])</f>
        <v>9</v>
      </c>
      <c r="N193" s="14" t="str">
        <f>"Q"&amp;ROUNDUP(MONTH(tblBookings[[#This Row],[CheckIn]])/3,0)</f>
        <v>Q3</v>
      </c>
    </row>
    <row r="194" spans="1:14" x14ac:dyDescent="0.3">
      <c r="A194" s="1" t="s">
        <v>717</v>
      </c>
      <c r="B194" s="2">
        <v>203</v>
      </c>
      <c r="C194" s="2" t="s">
        <v>718</v>
      </c>
      <c r="D194" s="3" t="s">
        <v>719</v>
      </c>
      <c r="E194" s="3" t="s">
        <v>720</v>
      </c>
      <c r="F194" s="2">
        <v>4</v>
      </c>
      <c r="G194" s="2">
        <v>9345679323</v>
      </c>
      <c r="H194" s="2">
        <v>11097</v>
      </c>
      <c r="I194" s="4" t="s">
        <v>18</v>
      </c>
      <c r="J194" s="6">
        <f>tblBookings[[#This Row],[CheckOut]]-tblBookings[[#This Row],[CheckIn]]</f>
        <v>3</v>
      </c>
      <c r="K194" s="6">
        <f>YEAR(tblBookings[[#This Row],[CheckIn]])</f>
        <v>2028</v>
      </c>
      <c r="L194" s="14" t="str">
        <f>TEXT(tblBookings[[#This Row],[CheckIn]],"MMM")</f>
        <v>Sep</v>
      </c>
      <c r="M194" s="14">
        <f>MONTH(tblBookings[[#This Row],[CheckIn]])</f>
        <v>9</v>
      </c>
      <c r="N194" s="14" t="str">
        <f>"Q"&amp;ROUNDUP(MONTH(tblBookings[[#This Row],[CheckIn]])/3,0)</f>
        <v>Q3</v>
      </c>
    </row>
    <row r="195" spans="1:14" x14ac:dyDescent="0.3">
      <c r="A195" s="5" t="s">
        <v>721</v>
      </c>
      <c r="B195" s="6">
        <v>206</v>
      </c>
      <c r="C195" s="6" t="s">
        <v>722</v>
      </c>
      <c r="D195" s="7" t="s">
        <v>723</v>
      </c>
      <c r="E195" s="7" t="s">
        <v>724</v>
      </c>
      <c r="F195" s="6">
        <v>3</v>
      </c>
      <c r="G195" s="6">
        <v>9456780434</v>
      </c>
      <c r="H195" s="6">
        <v>17997</v>
      </c>
      <c r="I195" s="8" t="s">
        <v>13</v>
      </c>
      <c r="J195" s="6">
        <f>tblBookings[[#This Row],[CheckOut]]-tblBookings[[#This Row],[CheckIn]]</f>
        <v>3</v>
      </c>
      <c r="K195" s="6">
        <f>YEAR(tblBookings[[#This Row],[CheckIn]])</f>
        <v>2028</v>
      </c>
      <c r="L195" s="14" t="str">
        <f>TEXT(tblBookings[[#This Row],[CheckIn]],"MMM")</f>
        <v>Sep</v>
      </c>
      <c r="M195" s="14">
        <f>MONTH(tblBookings[[#This Row],[CheckIn]])</f>
        <v>9</v>
      </c>
      <c r="N195" s="14" t="str">
        <f>"Q"&amp;ROUNDUP(MONTH(tblBookings[[#This Row],[CheckIn]])/3,0)</f>
        <v>Q3</v>
      </c>
    </row>
    <row r="196" spans="1:14" x14ac:dyDescent="0.3">
      <c r="A196" s="1" t="s">
        <v>725</v>
      </c>
      <c r="B196" s="2">
        <v>205</v>
      </c>
      <c r="C196" s="2" t="s">
        <v>726</v>
      </c>
      <c r="D196" s="3" t="s">
        <v>727</v>
      </c>
      <c r="E196" s="3" t="s">
        <v>728</v>
      </c>
      <c r="F196" s="2">
        <v>2</v>
      </c>
      <c r="G196" s="2">
        <v>9567891545</v>
      </c>
      <c r="H196" s="2">
        <v>4398</v>
      </c>
      <c r="I196" s="4" t="s">
        <v>13</v>
      </c>
      <c r="J196" s="6">
        <f>tblBookings[[#This Row],[CheckOut]]-tblBookings[[#This Row],[CheckIn]]</f>
        <v>2</v>
      </c>
      <c r="K196" s="6">
        <f>YEAR(tblBookings[[#This Row],[CheckIn]])</f>
        <v>2028</v>
      </c>
      <c r="L196" s="14" t="str">
        <f>TEXT(tblBookings[[#This Row],[CheckIn]],"MMM")</f>
        <v>Sep</v>
      </c>
      <c r="M196" s="14">
        <f>MONTH(tblBookings[[#This Row],[CheckIn]])</f>
        <v>9</v>
      </c>
      <c r="N196" s="14" t="str">
        <f>"Q"&amp;ROUNDUP(MONTH(tblBookings[[#This Row],[CheckIn]])/3,0)</f>
        <v>Q3</v>
      </c>
    </row>
    <row r="197" spans="1:14" x14ac:dyDescent="0.3">
      <c r="A197" s="5" t="s">
        <v>729</v>
      </c>
      <c r="B197" s="6">
        <v>201</v>
      </c>
      <c r="C197" s="6" t="s">
        <v>730</v>
      </c>
      <c r="D197" s="7" t="s">
        <v>731</v>
      </c>
      <c r="E197" s="7" t="s">
        <v>732</v>
      </c>
      <c r="F197" s="6">
        <v>2</v>
      </c>
      <c r="G197" s="6">
        <v>9678902656</v>
      </c>
      <c r="H197" s="6">
        <v>11596</v>
      </c>
      <c r="I197" s="8" t="s">
        <v>18</v>
      </c>
      <c r="J197" s="6">
        <f>tblBookings[[#This Row],[CheckOut]]-tblBookings[[#This Row],[CheckIn]]</f>
        <v>4</v>
      </c>
      <c r="K197" s="6">
        <f>YEAR(tblBookings[[#This Row],[CheckIn]])</f>
        <v>2028</v>
      </c>
      <c r="L197" s="14" t="str">
        <f>TEXT(tblBookings[[#This Row],[CheckIn]],"MMM")</f>
        <v>Sep</v>
      </c>
      <c r="M197" s="14">
        <f>MONTH(tblBookings[[#This Row],[CheckIn]])</f>
        <v>9</v>
      </c>
      <c r="N197" s="14" t="str">
        <f>"Q"&amp;ROUNDUP(MONTH(tblBookings[[#This Row],[CheckIn]])/3,0)</f>
        <v>Q3</v>
      </c>
    </row>
    <row r="198" spans="1:14" x14ac:dyDescent="0.3">
      <c r="A198" s="1" t="s">
        <v>733</v>
      </c>
      <c r="B198" s="2">
        <v>204</v>
      </c>
      <c r="C198" s="2" t="s">
        <v>442</v>
      </c>
      <c r="D198" s="3" t="s">
        <v>734</v>
      </c>
      <c r="E198" s="3" t="s">
        <v>735</v>
      </c>
      <c r="F198" s="2">
        <v>2</v>
      </c>
      <c r="G198" s="2">
        <v>9789013767</v>
      </c>
      <c r="H198" s="2">
        <v>16796</v>
      </c>
      <c r="I198" s="4" t="s">
        <v>13</v>
      </c>
      <c r="J198" s="6">
        <f>tblBookings[[#This Row],[CheckOut]]-tblBookings[[#This Row],[CheckIn]]</f>
        <v>4</v>
      </c>
      <c r="K198" s="6">
        <f>YEAR(tblBookings[[#This Row],[CheckIn]])</f>
        <v>2028</v>
      </c>
      <c r="L198" s="14" t="str">
        <f>TEXT(tblBookings[[#This Row],[CheckIn]],"MMM")</f>
        <v>Oct</v>
      </c>
      <c r="M198" s="14">
        <f>MONTH(tblBookings[[#This Row],[CheckIn]])</f>
        <v>10</v>
      </c>
      <c r="N198" s="14" t="str">
        <f>"Q"&amp;ROUNDUP(MONTH(tblBookings[[#This Row],[CheckIn]])/3,0)</f>
        <v>Q4</v>
      </c>
    </row>
    <row r="199" spans="1:14" x14ac:dyDescent="0.3">
      <c r="A199" s="5" t="s">
        <v>736</v>
      </c>
      <c r="B199" s="6">
        <v>202</v>
      </c>
      <c r="C199" s="6" t="s">
        <v>213</v>
      </c>
      <c r="D199" s="7" t="s">
        <v>735</v>
      </c>
      <c r="E199" s="7" t="s">
        <v>737</v>
      </c>
      <c r="F199" s="6">
        <v>2</v>
      </c>
      <c r="G199" s="6">
        <v>9890124878</v>
      </c>
      <c r="H199" s="6">
        <v>7497</v>
      </c>
      <c r="I199" s="8" t="s">
        <v>13</v>
      </c>
      <c r="J199" s="6">
        <f>tblBookings[[#This Row],[CheckOut]]-tblBookings[[#This Row],[CheckIn]]</f>
        <v>3</v>
      </c>
      <c r="K199" s="6">
        <f>YEAR(tblBookings[[#This Row],[CheckIn]])</f>
        <v>2028</v>
      </c>
      <c r="L199" s="14" t="str">
        <f>TEXT(tblBookings[[#This Row],[CheckIn]],"MMM")</f>
        <v>Oct</v>
      </c>
      <c r="M199" s="14">
        <f>MONTH(tblBookings[[#This Row],[CheckIn]])</f>
        <v>10</v>
      </c>
      <c r="N199" s="14" t="str">
        <f>"Q"&amp;ROUNDUP(MONTH(tblBookings[[#This Row],[CheckIn]])/3,0)</f>
        <v>Q4</v>
      </c>
    </row>
    <row r="200" spans="1:14" x14ac:dyDescent="0.3">
      <c r="A200" s="1" t="s">
        <v>738</v>
      </c>
      <c r="B200" s="2">
        <v>203</v>
      </c>
      <c r="C200" s="2" t="s">
        <v>300</v>
      </c>
      <c r="D200" s="3" t="s">
        <v>739</v>
      </c>
      <c r="E200" s="3" t="s">
        <v>740</v>
      </c>
      <c r="F200" s="2">
        <v>4</v>
      </c>
      <c r="G200" s="2">
        <v>9901235989</v>
      </c>
      <c r="H200" s="2">
        <v>14796</v>
      </c>
      <c r="I200" s="4" t="s">
        <v>18</v>
      </c>
      <c r="J200" s="6">
        <f>tblBookings[[#This Row],[CheckOut]]-tblBookings[[#This Row],[CheckIn]]</f>
        <v>4</v>
      </c>
      <c r="K200" s="6">
        <f>YEAR(tblBookings[[#This Row],[CheckIn]])</f>
        <v>2028</v>
      </c>
      <c r="L200" s="14" t="str">
        <f>TEXT(tblBookings[[#This Row],[CheckIn]],"MMM")</f>
        <v>Oct</v>
      </c>
      <c r="M200" s="14">
        <f>MONTH(tblBookings[[#This Row],[CheckIn]])</f>
        <v>10</v>
      </c>
      <c r="N200" s="14" t="str">
        <f>"Q"&amp;ROUNDUP(MONTH(tblBookings[[#This Row],[CheckIn]])/3,0)</f>
        <v>Q4</v>
      </c>
    </row>
    <row r="201" spans="1:14" x14ac:dyDescent="0.3">
      <c r="A201" s="5" t="s">
        <v>741</v>
      </c>
      <c r="B201" s="6">
        <v>206</v>
      </c>
      <c r="C201" s="6" t="s">
        <v>742</v>
      </c>
      <c r="D201" s="7" t="s">
        <v>743</v>
      </c>
      <c r="E201" s="7" t="s">
        <v>744</v>
      </c>
      <c r="F201" s="6">
        <v>3</v>
      </c>
      <c r="G201" s="6">
        <v>9012346090</v>
      </c>
      <c r="H201" s="6">
        <v>17997</v>
      </c>
      <c r="I201" s="8" t="s">
        <v>13</v>
      </c>
      <c r="J201" s="6">
        <f>tblBookings[[#This Row],[CheckOut]]-tblBookings[[#This Row],[CheckIn]]</f>
        <v>3</v>
      </c>
      <c r="K201" s="6">
        <f>YEAR(tblBookings[[#This Row],[CheckIn]])</f>
        <v>2028</v>
      </c>
      <c r="L201" s="14" t="str">
        <f>TEXT(tblBookings[[#This Row],[CheckIn]],"MMM")</f>
        <v>Oct</v>
      </c>
      <c r="M201" s="14">
        <f>MONTH(tblBookings[[#This Row],[CheckIn]])</f>
        <v>10</v>
      </c>
      <c r="N201" s="14" t="str">
        <f>"Q"&amp;ROUNDUP(MONTH(tblBookings[[#This Row],[CheckIn]])/3,0)</f>
        <v>Q4</v>
      </c>
    </row>
    <row r="202" spans="1:14" x14ac:dyDescent="0.3">
      <c r="A202" s="1" t="s">
        <v>745</v>
      </c>
      <c r="B202" s="2">
        <v>205</v>
      </c>
      <c r="C202" s="2" t="s">
        <v>244</v>
      </c>
      <c r="D202" s="3" t="s">
        <v>746</v>
      </c>
      <c r="E202" s="3" t="s">
        <v>747</v>
      </c>
      <c r="F202" s="2">
        <v>2</v>
      </c>
      <c r="G202" s="2">
        <v>9123457201</v>
      </c>
      <c r="H202" s="2">
        <v>6597</v>
      </c>
      <c r="I202" s="4" t="s">
        <v>13</v>
      </c>
      <c r="J202" s="6">
        <f>tblBookings[[#This Row],[CheckOut]]-tblBookings[[#This Row],[CheckIn]]</f>
        <v>3</v>
      </c>
      <c r="K202" s="6">
        <f>YEAR(tblBookings[[#This Row],[CheckIn]])</f>
        <v>2028</v>
      </c>
      <c r="L202" s="14" t="str">
        <f>TEXT(tblBookings[[#This Row],[CheckIn]],"MMM")</f>
        <v>Oct</v>
      </c>
      <c r="M202" s="14">
        <f>MONTH(tblBookings[[#This Row],[CheckIn]])</f>
        <v>10</v>
      </c>
      <c r="N202" s="14" t="str">
        <f>"Q"&amp;ROUNDUP(MONTH(tblBookings[[#This Row],[CheckIn]])/3,0)</f>
        <v>Q4</v>
      </c>
    </row>
    <row r="203" spans="1:14" x14ac:dyDescent="0.3">
      <c r="A203" s="5" t="s">
        <v>748</v>
      </c>
      <c r="B203" s="6">
        <v>201</v>
      </c>
      <c r="C203" s="6" t="s">
        <v>10</v>
      </c>
      <c r="D203" s="7" t="s">
        <v>749</v>
      </c>
      <c r="E203" s="7" t="s">
        <v>750</v>
      </c>
      <c r="F203" s="6">
        <v>2</v>
      </c>
      <c r="G203" s="6">
        <v>9234568312</v>
      </c>
      <c r="H203" s="6">
        <v>5798</v>
      </c>
      <c r="I203" s="8" t="s">
        <v>18</v>
      </c>
      <c r="J203" s="6">
        <f>tblBookings[[#This Row],[CheckOut]]-tblBookings[[#This Row],[CheckIn]]</f>
        <v>2</v>
      </c>
      <c r="K203" s="6">
        <f>YEAR(tblBookings[[#This Row],[CheckIn]])</f>
        <v>2028</v>
      </c>
      <c r="L203" s="14" t="str">
        <f>TEXT(tblBookings[[#This Row],[CheckIn]],"MMM")</f>
        <v>Oct</v>
      </c>
      <c r="M203" s="14">
        <f>MONTH(tblBookings[[#This Row],[CheckIn]])</f>
        <v>10</v>
      </c>
      <c r="N203" s="14" t="str">
        <f>"Q"&amp;ROUNDUP(MONTH(tblBookings[[#This Row],[CheckIn]])/3,0)</f>
        <v>Q4</v>
      </c>
    </row>
    <row r="204" spans="1:14" x14ac:dyDescent="0.3">
      <c r="A204" s="1" t="s">
        <v>751</v>
      </c>
      <c r="B204" s="2">
        <v>204</v>
      </c>
      <c r="C204" s="2" t="s">
        <v>752</v>
      </c>
      <c r="D204" s="3" t="s">
        <v>753</v>
      </c>
      <c r="E204" s="3" t="s">
        <v>754</v>
      </c>
      <c r="F204" s="2">
        <v>2</v>
      </c>
      <c r="G204" s="2">
        <v>9345679423</v>
      </c>
      <c r="H204" s="2">
        <v>16796</v>
      </c>
      <c r="I204" s="4" t="s">
        <v>13</v>
      </c>
      <c r="J204" s="6">
        <f>tblBookings[[#This Row],[CheckOut]]-tblBookings[[#This Row],[CheckIn]]</f>
        <v>4</v>
      </c>
      <c r="K204" s="6">
        <f>YEAR(tblBookings[[#This Row],[CheckIn]])</f>
        <v>2028</v>
      </c>
      <c r="L204" s="14" t="str">
        <f>TEXT(tblBookings[[#This Row],[CheckIn]],"MMM")</f>
        <v>Nov</v>
      </c>
      <c r="M204" s="14">
        <f>MONTH(tblBookings[[#This Row],[CheckIn]])</f>
        <v>11</v>
      </c>
      <c r="N204" s="14" t="str">
        <f>"Q"&amp;ROUNDUP(MONTH(tblBookings[[#This Row],[CheckIn]])/3,0)</f>
        <v>Q4</v>
      </c>
    </row>
    <row r="205" spans="1:14" x14ac:dyDescent="0.3">
      <c r="A205" s="5" t="s">
        <v>755</v>
      </c>
      <c r="B205" s="6">
        <v>202</v>
      </c>
      <c r="C205" s="6" t="s">
        <v>186</v>
      </c>
      <c r="D205" s="7" t="s">
        <v>754</v>
      </c>
      <c r="E205" s="7" t="s">
        <v>756</v>
      </c>
      <c r="F205" s="6">
        <v>2</v>
      </c>
      <c r="G205" s="6">
        <v>9456780534</v>
      </c>
      <c r="H205" s="6">
        <v>7497</v>
      </c>
      <c r="I205" s="8" t="s">
        <v>13</v>
      </c>
      <c r="J205" s="6">
        <f>tblBookings[[#This Row],[CheckOut]]-tblBookings[[#This Row],[CheckIn]]</f>
        <v>3</v>
      </c>
      <c r="K205" s="6">
        <f>YEAR(tblBookings[[#This Row],[CheckIn]])</f>
        <v>2028</v>
      </c>
      <c r="L205" s="14" t="str">
        <f>TEXT(tblBookings[[#This Row],[CheckIn]],"MMM")</f>
        <v>Nov</v>
      </c>
      <c r="M205" s="14">
        <f>MONTH(tblBookings[[#This Row],[CheckIn]])</f>
        <v>11</v>
      </c>
      <c r="N205" s="14" t="str">
        <f>"Q"&amp;ROUNDUP(MONTH(tblBookings[[#This Row],[CheckIn]])/3,0)</f>
        <v>Q4</v>
      </c>
    </row>
    <row r="206" spans="1:14" x14ac:dyDescent="0.3">
      <c r="A206" s="1" t="s">
        <v>757</v>
      </c>
      <c r="B206" s="2">
        <v>203</v>
      </c>
      <c r="C206" s="2" t="s">
        <v>758</v>
      </c>
      <c r="D206" s="3" t="s">
        <v>759</v>
      </c>
      <c r="E206" s="3" t="s">
        <v>760</v>
      </c>
      <c r="F206" s="2">
        <v>4</v>
      </c>
      <c r="G206" s="2">
        <v>9567891645</v>
      </c>
      <c r="H206" s="2">
        <v>11097</v>
      </c>
      <c r="I206" s="4" t="s">
        <v>18</v>
      </c>
      <c r="J206" s="6">
        <f>tblBookings[[#This Row],[CheckOut]]-tblBookings[[#This Row],[CheckIn]]</f>
        <v>3</v>
      </c>
      <c r="K206" s="6">
        <f>YEAR(tblBookings[[#This Row],[CheckIn]])</f>
        <v>2028</v>
      </c>
      <c r="L206" s="14" t="str">
        <f>TEXT(tblBookings[[#This Row],[CheckIn]],"MMM")</f>
        <v>Nov</v>
      </c>
      <c r="M206" s="14">
        <f>MONTH(tblBookings[[#This Row],[CheckIn]])</f>
        <v>11</v>
      </c>
      <c r="N206" s="14" t="str">
        <f>"Q"&amp;ROUNDUP(MONTH(tblBookings[[#This Row],[CheckIn]])/3,0)</f>
        <v>Q4</v>
      </c>
    </row>
    <row r="207" spans="1:14" x14ac:dyDescent="0.3">
      <c r="A207" s="5" t="s">
        <v>761</v>
      </c>
      <c r="B207" s="6">
        <v>206</v>
      </c>
      <c r="C207" s="6" t="s">
        <v>762</v>
      </c>
      <c r="D207" s="7" t="s">
        <v>763</v>
      </c>
      <c r="E207" s="7" t="s">
        <v>764</v>
      </c>
      <c r="F207" s="6">
        <v>3</v>
      </c>
      <c r="G207" s="6">
        <v>9678902756</v>
      </c>
      <c r="H207" s="6">
        <v>29995</v>
      </c>
      <c r="I207" s="8" t="s">
        <v>13</v>
      </c>
      <c r="J207" s="6">
        <f>tblBookings[[#This Row],[CheckOut]]-tblBookings[[#This Row],[CheckIn]]</f>
        <v>5</v>
      </c>
      <c r="K207" s="6">
        <f>YEAR(tblBookings[[#This Row],[CheckIn]])</f>
        <v>2028</v>
      </c>
      <c r="L207" s="14" t="str">
        <f>TEXT(tblBookings[[#This Row],[CheckIn]],"MMM")</f>
        <v>Nov</v>
      </c>
      <c r="M207" s="14">
        <f>MONTH(tblBookings[[#This Row],[CheckIn]])</f>
        <v>11</v>
      </c>
      <c r="N207" s="14" t="str">
        <f>"Q"&amp;ROUNDUP(MONTH(tblBookings[[#This Row],[CheckIn]])/3,0)</f>
        <v>Q4</v>
      </c>
    </row>
    <row r="208" spans="1:14" x14ac:dyDescent="0.3">
      <c r="A208" s="1" t="s">
        <v>765</v>
      </c>
      <c r="B208" s="2">
        <v>205</v>
      </c>
      <c r="C208" s="2" t="s">
        <v>524</v>
      </c>
      <c r="D208" s="3" t="s">
        <v>764</v>
      </c>
      <c r="E208" s="3" t="s">
        <v>766</v>
      </c>
      <c r="F208" s="2">
        <v>2</v>
      </c>
      <c r="G208" s="2">
        <v>9789013867</v>
      </c>
      <c r="H208" s="2">
        <v>4398</v>
      </c>
      <c r="I208" s="4" t="s">
        <v>13</v>
      </c>
      <c r="J208" s="6">
        <f>tblBookings[[#This Row],[CheckOut]]-tblBookings[[#This Row],[CheckIn]]</f>
        <v>2</v>
      </c>
      <c r="K208" s="6">
        <f>YEAR(tblBookings[[#This Row],[CheckIn]])</f>
        <v>2028</v>
      </c>
      <c r="L208" s="14" t="str">
        <f>TEXT(tblBookings[[#This Row],[CheckIn]],"MMM")</f>
        <v>Nov</v>
      </c>
      <c r="M208" s="14">
        <f>MONTH(tblBookings[[#This Row],[CheckIn]])</f>
        <v>11</v>
      </c>
      <c r="N208" s="14" t="str">
        <f>"Q"&amp;ROUNDUP(MONTH(tblBookings[[#This Row],[CheckIn]])/3,0)</f>
        <v>Q4</v>
      </c>
    </row>
    <row r="209" spans="1:14" x14ac:dyDescent="0.3">
      <c r="A209" s="5" t="s">
        <v>767</v>
      </c>
      <c r="B209" s="6">
        <v>201</v>
      </c>
      <c r="C209" s="6" t="s">
        <v>88</v>
      </c>
      <c r="D209" s="7" t="s">
        <v>768</v>
      </c>
      <c r="E209" s="7" t="s">
        <v>769</v>
      </c>
      <c r="F209" s="6">
        <v>2</v>
      </c>
      <c r="G209" s="6">
        <v>9890124978</v>
      </c>
      <c r="H209" s="6">
        <v>11596</v>
      </c>
      <c r="I209" s="8" t="s">
        <v>18</v>
      </c>
      <c r="J209" s="6">
        <f>tblBookings[[#This Row],[CheckOut]]-tblBookings[[#This Row],[CheckIn]]</f>
        <v>4</v>
      </c>
      <c r="K209" s="6">
        <f>YEAR(tblBookings[[#This Row],[CheckIn]])</f>
        <v>2028</v>
      </c>
      <c r="L209" s="14" t="str">
        <f>TEXT(tblBookings[[#This Row],[CheckIn]],"MMM")</f>
        <v>Nov</v>
      </c>
      <c r="M209" s="14">
        <f>MONTH(tblBookings[[#This Row],[CheckIn]])</f>
        <v>11</v>
      </c>
      <c r="N209" s="14" t="str">
        <f>"Q"&amp;ROUNDUP(MONTH(tblBookings[[#This Row],[CheckIn]])/3,0)</f>
        <v>Q4</v>
      </c>
    </row>
    <row r="210" spans="1:14" x14ac:dyDescent="0.3">
      <c r="A210" s="1" t="s">
        <v>770</v>
      </c>
      <c r="B210" s="2">
        <v>204</v>
      </c>
      <c r="C210" s="2" t="s">
        <v>771</v>
      </c>
      <c r="D210" s="3" t="s">
        <v>772</v>
      </c>
      <c r="E210" s="3" t="s">
        <v>773</v>
      </c>
      <c r="F210" s="2">
        <v>2</v>
      </c>
      <c r="G210" s="2">
        <v>9901236089</v>
      </c>
      <c r="H210" s="2">
        <v>12597</v>
      </c>
      <c r="I210" s="4" t="s">
        <v>13</v>
      </c>
      <c r="J210" s="6">
        <f>tblBookings[[#This Row],[CheckOut]]-tblBookings[[#This Row],[CheckIn]]</f>
        <v>3</v>
      </c>
      <c r="K210" s="6">
        <f>YEAR(tblBookings[[#This Row],[CheckIn]])</f>
        <v>2028</v>
      </c>
      <c r="L210" s="14" t="str">
        <f>TEXT(tblBookings[[#This Row],[CheckIn]],"MMM")</f>
        <v>Dec</v>
      </c>
      <c r="M210" s="14">
        <f>MONTH(tblBookings[[#This Row],[CheckIn]])</f>
        <v>12</v>
      </c>
      <c r="N210" s="14" t="str">
        <f>"Q"&amp;ROUNDUP(MONTH(tblBookings[[#This Row],[CheckIn]])/3,0)</f>
        <v>Q4</v>
      </c>
    </row>
    <row r="211" spans="1:14" x14ac:dyDescent="0.3">
      <c r="A211" s="5" t="s">
        <v>774</v>
      </c>
      <c r="B211" s="6">
        <v>202</v>
      </c>
      <c r="C211" s="6" t="s">
        <v>464</v>
      </c>
      <c r="D211" s="7" t="s">
        <v>775</v>
      </c>
      <c r="E211" s="7" t="s">
        <v>776</v>
      </c>
      <c r="F211" s="6">
        <v>2</v>
      </c>
      <c r="G211" s="6">
        <v>9012347190</v>
      </c>
      <c r="H211" s="6">
        <v>7497</v>
      </c>
      <c r="I211" s="8" t="s">
        <v>13</v>
      </c>
      <c r="J211" s="6">
        <f>tblBookings[[#This Row],[CheckOut]]-tblBookings[[#This Row],[CheckIn]]</f>
        <v>3</v>
      </c>
      <c r="K211" s="6">
        <f>YEAR(tblBookings[[#This Row],[CheckIn]])</f>
        <v>2028</v>
      </c>
      <c r="L211" s="14" t="str">
        <f>TEXT(tblBookings[[#This Row],[CheckIn]],"MMM")</f>
        <v>Dec</v>
      </c>
      <c r="M211" s="14">
        <f>MONTH(tblBookings[[#This Row],[CheckIn]])</f>
        <v>12</v>
      </c>
      <c r="N211" s="14" t="str">
        <f>"Q"&amp;ROUNDUP(MONTH(tblBookings[[#This Row],[CheckIn]])/3,0)</f>
        <v>Q4</v>
      </c>
    </row>
    <row r="212" spans="1:14" x14ac:dyDescent="0.3">
      <c r="A212" s="1" t="s">
        <v>777</v>
      </c>
      <c r="B212" s="2">
        <v>203</v>
      </c>
      <c r="C212" s="2" t="s">
        <v>158</v>
      </c>
      <c r="D212" s="3" t="s">
        <v>778</v>
      </c>
      <c r="E212" s="3" t="s">
        <v>779</v>
      </c>
      <c r="F212" s="2">
        <v>4</v>
      </c>
      <c r="G212" s="2">
        <v>9123457201</v>
      </c>
      <c r="H212" s="2">
        <v>14796</v>
      </c>
      <c r="I212" s="4" t="s">
        <v>18</v>
      </c>
      <c r="J212" s="6">
        <f>tblBookings[[#This Row],[CheckOut]]-tblBookings[[#This Row],[CheckIn]]</f>
        <v>4</v>
      </c>
      <c r="K212" s="6">
        <f>YEAR(tblBookings[[#This Row],[CheckIn]])</f>
        <v>2028</v>
      </c>
      <c r="L212" s="14" t="str">
        <f>TEXT(tblBookings[[#This Row],[CheckIn]],"MMM")</f>
        <v>Dec</v>
      </c>
      <c r="M212" s="14">
        <f>MONTH(tblBookings[[#This Row],[CheckIn]])</f>
        <v>12</v>
      </c>
      <c r="N212" s="14" t="str">
        <f>"Q"&amp;ROUNDUP(MONTH(tblBookings[[#This Row],[CheckIn]])/3,0)</f>
        <v>Q4</v>
      </c>
    </row>
    <row r="213" spans="1:14" x14ac:dyDescent="0.3">
      <c r="A213" s="5" t="s">
        <v>780</v>
      </c>
      <c r="B213" s="6">
        <v>206</v>
      </c>
      <c r="C213" s="6" t="s">
        <v>293</v>
      </c>
      <c r="D213" s="7" t="s">
        <v>781</v>
      </c>
      <c r="E213" s="7" t="s">
        <v>782</v>
      </c>
      <c r="F213" s="6">
        <v>3</v>
      </c>
      <c r="G213" s="6">
        <v>9234568312</v>
      </c>
      <c r="H213" s="6">
        <v>17997</v>
      </c>
      <c r="I213" s="8" t="s">
        <v>13</v>
      </c>
      <c r="J213" s="6">
        <f>tblBookings[[#This Row],[CheckOut]]-tblBookings[[#This Row],[CheckIn]]</f>
        <v>3</v>
      </c>
      <c r="K213" s="6">
        <f>YEAR(tblBookings[[#This Row],[CheckIn]])</f>
        <v>2028</v>
      </c>
      <c r="L213" s="14" t="str">
        <f>TEXT(tblBookings[[#This Row],[CheckIn]],"MMM")</f>
        <v>Dec</v>
      </c>
      <c r="M213" s="14">
        <f>MONTH(tblBookings[[#This Row],[CheckIn]])</f>
        <v>12</v>
      </c>
      <c r="N213" s="14" t="str">
        <f>"Q"&amp;ROUNDUP(MONTH(tblBookings[[#This Row],[CheckIn]])/3,0)</f>
        <v>Q4</v>
      </c>
    </row>
    <row r="214" spans="1:14" x14ac:dyDescent="0.3">
      <c r="A214" s="1" t="s">
        <v>783</v>
      </c>
      <c r="B214" s="2">
        <v>205</v>
      </c>
      <c r="C214" s="2" t="s">
        <v>612</v>
      </c>
      <c r="D214" s="3" t="s">
        <v>784</v>
      </c>
      <c r="E214" s="3" t="s">
        <v>785</v>
      </c>
      <c r="F214" s="2">
        <v>2</v>
      </c>
      <c r="G214" s="2">
        <v>9345679423</v>
      </c>
      <c r="H214" s="2">
        <v>6597</v>
      </c>
      <c r="I214" s="4" t="s">
        <v>13</v>
      </c>
      <c r="J214" s="6">
        <f>tblBookings[[#This Row],[CheckOut]]-tblBookings[[#This Row],[CheckIn]]</f>
        <v>3</v>
      </c>
      <c r="K214" s="6">
        <f>YEAR(tblBookings[[#This Row],[CheckIn]])</f>
        <v>2028</v>
      </c>
      <c r="L214" s="14" t="str">
        <f>TEXT(tblBookings[[#This Row],[CheckIn]],"MMM")</f>
        <v>Dec</v>
      </c>
      <c r="M214" s="14">
        <f>MONTH(tblBookings[[#This Row],[CheckIn]])</f>
        <v>12</v>
      </c>
      <c r="N214" s="14" t="str">
        <f>"Q"&amp;ROUNDUP(MONTH(tblBookings[[#This Row],[CheckIn]])/3,0)</f>
        <v>Q4</v>
      </c>
    </row>
    <row r="215" spans="1:14" x14ac:dyDescent="0.3">
      <c r="A215" s="5" t="s">
        <v>786</v>
      </c>
      <c r="B215" s="6">
        <v>201</v>
      </c>
      <c r="C215" s="6" t="s">
        <v>312</v>
      </c>
      <c r="D215" s="7" t="s">
        <v>787</v>
      </c>
      <c r="E215" s="7" t="s">
        <v>788</v>
      </c>
      <c r="F215" s="6">
        <v>2</v>
      </c>
      <c r="G215" s="6">
        <v>9456780534</v>
      </c>
      <c r="H215" s="6">
        <v>5798</v>
      </c>
      <c r="I215" s="8" t="s">
        <v>18</v>
      </c>
      <c r="J215" s="6">
        <f>tblBookings[[#This Row],[CheckOut]]-tblBookings[[#This Row],[CheckIn]]</f>
        <v>2</v>
      </c>
      <c r="K215" s="6">
        <f>YEAR(tblBookings[[#This Row],[CheckIn]])</f>
        <v>2028</v>
      </c>
      <c r="L215" s="14" t="str">
        <f>TEXT(tblBookings[[#This Row],[CheckIn]],"MMM")</f>
        <v>Dec</v>
      </c>
      <c r="M215" s="14">
        <f>MONTH(tblBookings[[#This Row],[CheckIn]])</f>
        <v>12</v>
      </c>
      <c r="N215" s="14" t="str">
        <f>"Q"&amp;ROUNDUP(MONTH(tblBookings[[#This Row],[CheckIn]])/3,0)</f>
        <v>Q4</v>
      </c>
    </row>
    <row r="216" spans="1:14" x14ac:dyDescent="0.3">
      <c r="A216" s="1" t="s">
        <v>789</v>
      </c>
      <c r="B216" s="2">
        <v>204</v>
      </c>
      <c r="C216" s="2" t="s">
        <v>116</v>
      </c>
      <c r="D216" s="3" t="s">
        <v>790</v>
      </c>
      <c r="E216" s="3" t="s">
        <v>791</v>
      </c>
      <c r="F216" s="2">
        <v>2</v>
      </c>
      <c r="G216" s="2">
        <v>9567891645</v>
      </c>
      <c r="H216" s="2">
        <v>16796</v>
      </c>
      <c r="I216" s="4" t="s">
        <v>13</v>
      </c>
      <c r="J216" s="6">
        <f>tblBookings[[#This Row],[CheckOut]]-tblBookings[[#This Row],[CheckIn]]</f>
        <v>4</v>
      </c>
      <c r="K216" s="6">
        <f>YEAR(tblBookings[[#This Row],[CheckIn]])</f>
        <v>2029</v>
      </c>
      <c r="L216" s="14" t="str">
        <f>TEXT(tblBookings[[#This Row],[CheckIn]],"MMM")</f>
        <v>Jan</v>
      </c>
      <c r="M216" s="14">
        <f>MONTH(tblBookings[[#This Row],[CheckIn]])</f>
        <v>1</v>
      </c>
      <c r="N216" s="14" t="str">
        <f>"Q"&amp;ROUNDUP(MONTH(tblBookings[[#This Row],[CheckIn]])/3,0)</f>
        <v>Q1</v>
      </c>
    </row>
    <row r="217" spans="1:14" x14ac:dyDescent="0.3">
      <c r="A217" s="5" t="s">
        <v>792</v>
      </c>
      <c r="B217" s="6">
        <v>202</v>
      </c>
      <c r="C217" s="6" t="s">
        <v>621</v>
      </c>
      <c r="D217" s="7" t="s">
        <v>791</v>
      </c>
      <c r="E217" s="7" t="s">
        <v>793</v>
      </c>
      <c r="F217" s="6">
        <v>2</v>
      </c>
      <c r="G217" s="6">
        <v>9678902756</v>
      </c>
      <c r="H217" s="6">
        <v>9996</v>
      </c>
      <c r="I217" s="8" t="s">
        <v>13</v>
      </c>
      <c r="J217" s="6">
        <f>tblBookings[[#This Row],[CheckOut]]-tblBookings[[#This Row],[CheckIn]]</f>
        <v>4</v>
      </c>
      <c r="K217" s="6">
        <f>YEAR(tblBookings[[#This Row],[CheckIn]])</f>
        <v>2029</v>
      </c>
      <c r="L217" s="14" t="str">
        <f>TEXT(tblBookings[[#This Row],[CheckIn]],"MMM")</f>
        <v>Jan</v>
      </c>
      <c r="M217" s="14">
        <f>MONTH(tblBookings[[#This Row],[CheckIn]])</f>
        <v>1</v>
      </c>
      <c r="N217" s="14" t="str">
        <f>"Q"&amp;ROUNDUP(MONTH(tblBookings[[#This Row],[CheckIn]])/3,0)</f>
        <v>Q1</v>
      </c>
    </row>
    <row r="218" spans="1:14" x14ac:dyDescent="0.3">
      <c r="A218" s="1" t="s">
        <v>794</v>
      </c>
      <c r="B218" s="2">
        <v>203</v>
      </c>
      <c r="C218" s="2" t="s">
        <v>625</v>
      </c>
      <c r="D218" s="3" t="s">
        <v>795</v>
      </c>
      <c r="E218" s="3" t="s">
        <v>796</v>
      </c>
      <c r="F218" s="2">
        <v>3</v>
      </c>
      <c r="G218" s="2">
        <v>9789013867</v>
      </c>
      <c r="H218" s="2">
        <v>7398</v>
      </c>
      <c r="I218" s="4" t="s">
        <v>18</v>
      </c>
      <c r="J218" s="6">
        <f>tblBookings[[#This Row],[CheckOut]]-tblBookings[[#This Row],[CheckIn]]</f>
        <v>2</v>
      </c>
      <c r="K218" s="6">
        <f>YEAR(tblBookings[[#This Row],[CheckIn]])</f>
        <v>2029</v>
      </c>
      <c r="L218" s="14" t="str">
        <f>TEXT(tblBookings[[#This Row],[CheckIn]],"MMM")</f>
        <v>Jan</v>
      </c>
      <c r="M218" s="14">
        <f>MONTH(tblBookings[[#This Row],[CheckIn]])</f>
        <v>1</v>
      </c>
      <c r="N218" s="14" t="str">
        <f>"Q"&amp;ROUNDUP(MONTH(tblBookings[[#This Row],[CheckIn]])/3,0)</f>
        <v>Q1</v>
      </c>
    </row>
    <row r="219" spans="1:14" x14ac:dyDescent="0.3">
      <c r="A219" s="5" t="s">
        <v>797</v>
      </c>
      <c r="B219" s="6">
        <v>206</v>
      </c>
      <c r="C219" s="6" t="s">
        <v>629</v>
      </c>
      <c r="D219" s="7" t="s">
        <v>798</v>
      </c>
      <c r="E219" s="7" t="s">
        <v>799</v>
      </c>
      <c r="F219" s="6">
        <v>3</v>
      </c>
      <c r="G219" s="6">
        <v>9890124978</v>
      </c>
      <c r="H219" s="6">
        <v>17997</v>
      </c>
      <c r="I219" s="8" t="s">
        <v>13</v>
      </c>
      <c r="J219" s="6">
        <f>tblBookings[[#This Row],[CheckOut]]-tblBookings[[#This Row],[CheckIn]]</f>
        <v>3</v>
      </c>
      <c r="K219" s="6">
        <f>YEAR(tblBookings[[#This Row],[CheckIn]])</f>
        <v>2029</v>
      </c>
      <c r="L219" s="14" t="str">
        <f>TEXT(tblBookings[[#This Row],[CheckIn]],"MMM")</f>
        <v>Jan</v>
      </c>
      <c r="M219" s="14">
        <f>MONTH(tblBookings[[#This Row],[CheckIn]])</f>
        <v>1</v>
      </c>
      <c r="N219" s="14" t="str">
        <f>"Q"&amp;ROUNDUP(MONTH(tblBookings[[#This Row],[CheckIn]])/3,0)</f>
        <v>Q1</v>
      </c>
    </row>
    <row r="220" spans="1:14" x14ac:dyDescent="0.3">
      <c r="A220" s="1" t="s">
        <v>800</v>
      </c>
      <c r="B220" s="2">
        <v>205</v>
      </c>
      <c r="C220" s="2" t="s">
        <v>633</v>
      </c>
      <c r="D220" s="3" t="s">
        <v>801</v>
      </c>
      <c r="E220" s="3" t="s">
        <v>802</v>
      </c>
      <c r="F220" s="2">
        <v>2</v>
      </c>
      <c r="G220" s="2">
        <v>9901236089</v>
      </c>
      <c r="H220" s="2">
        <v>4398</v>
      </c>
      <c r="I220" s="4" t="s">
        <v>13</v>
      </c>
      <c r="J220" s="6">
        <f>tblBookings[[#This Row],[CheckOut]]-tblBookings[[#This Row],[CheckIn]]</f>
        <v>2</v>
      </c>
      <c r="K220" s="6">
        <f>YEAR(tblBookings[[#This Row],[CheckIn]])</f>
        <v>2029</v>
      </c>
      <c r="L220" s="14" t="str">
        <f>TEXT(tblBookings[[#This Row],[CheckIn]],"MMM")</f>
        <v>Jan</v>
      </c>
      <c r="M220" s="14">
        <f>MONTH(tblBookings[[#This Row],[CheckIn]])</f>
        <v>1</v>
      </c>
      <c r="N220" s="14" t="str">
        <f>"Q"&amp;ROUNDUP(MONTH(tblBookings[[#This Row],[CheckIn]])/3,0)</f>
        <v>Q1</v>
      </c>
    </row>
    <row r="221" spans="1:14" x14ac:dyDescent="0.3">
      <c r="A221" s="5" t="s">
        <v>803</v>
      </c>
      <c r="B221" s="6">
        <v>201</v>
      </c>
      <c r="C221" s="6" t="s">
        <v>259</v>
      </c>
      <c r="D221" s="7" t="s">
        <v>804</v>
      </c>
      <c r="E221" s="7" t="s">
        <v>805</v>
      </c>
      <c r="F221" s="6">
        <v>2</v>
      </c>
      <c r="G221" s="6">
        <v>9012347190</v>
      </c>
      <c r="H221" s="6">
        <v>11596</v>
      </c>
      <c r="I221" s="8" t="s">
        <v>18</v>
      </c>
      <c r="J221" s="6">
        <f>tblBookings[[#This Row],[CheckOut]]-tblBookings[[#This Row],[CheckIn]]</f>
        <v>4</v>
      </c>
      <c r="K221" s="6">
        <f>YEAR(tblBookings[[#This Row],[CheckIn]])</f>
        <v>2029</v>
      </c>
      <c r="L221" s="14" t="str">
        <f>TEXT(tblBookings[[#This Row],[CheckIn]],"MMM")</f>
        <v>Jan</v>
      </c>
      <c r="M221" s="14">
        <f>MONTH(tblBookings[[#This Row],[CheckIn]])</f>
        <v>1</v>
      </c>
      <c r="N221" s="14" t="str">
        <f>"Q"&amp;ROUNDUP(MONTH(tblBookings[[#This Row],[CheckIn]])/3,0)</f>
        <v>Q1</v>
      </c>
    </row>
    <row r="222" spans="1:14" x14ac:dyDescent="0.3">
      <c r="A222" s="1" t="s">
        <v>806</v>
      </c>
      <c r="B222" s="2">
        <v>204</v>
      </c>
      <c r="C222" s="2" t="s">
        <v>807</v>
      </c>
      <c r="D222" s="2" t="s">
        <v>808</v>
      </c>
      <c r="E222" s="3" t="s">
        <v>809</v>
      </c>
      <c r="F222" s="2">
        <v>2</v>
      </c>
      <c r="G222" s="2">
        <v>9123457201</v>
      </c>
      <c r="H222" s="2">
        <v>12597</v>
      </c>
      <c r="I222" s="4" t="s">
        <v>13</v>
      </c>
      <c r="J222" s="6">
        <f>tblBookings[[#This Row],[CheckOut]]-tblBookings[[#This Row],[CheckIn]]</f>
        <v>3</v>
      </c>
      <c r="K222" s="6">
        <f>YEAR(tblBookings[[#This Row],[CheckIn]])</f>
        <v>2029</v>
      </c>
      <c r="L222" s="14" t="str">
        <f>TEXT(tblBookings[[#This Row],[CheckIn]],"MMM")</f>
        <v>Feb</v>
      </c>
      <c r="M222" s="14">
        <f>MONTH(tblBookings[[#This Row],[CheckIn]])</f>
        <v>2</v>
      </c>
      <c r="N222" s="14" t="str">
        <f>"Q"&amp;ROUNDUP(MONTH(tblBookings[[#This Row],[CheckIn]])/3,0)</f>
        <v>Q1</v>
      </c>
    </row>
    <row r="223" spans="1:14" x14ac:dyDescent="0.3">
      <c r="A223" s="5" t="s">
        <v>810</v>
      </c>
      <c r="B223" s="6">
        <v>202</v>
      </c>
      <c r="C223" s="6" t="s">
        <v>811</v>
      </c>
      <c r="D223" s="6" t="s">
        <v>812</v>
      </c>
      <c r="E223" s="7" t="s">
        <v>813</v>
      </c>
      <c r="F223" s="6">
        <v>2</v>
      </c>
      <c r="G223" s="6">
        <v>9234568312</v>
      </c>
      <c r="H223" s="6">
        <v>7497</v>
      </c>
      <c r="I223" s="8" t="s">
        <v>13</v>
      </c>
      <c r="J223" s="6">
        <f>tblBookings[[#This Row],[CheckOut]]-tblBookings[[#This Row],[CheckIn]]</f>
        <v>3</v>
      </c>
      <c r="K223" s="6">
        <f>YEAR(tblBookings[[#This Row],[CheckIn]])</f>
        <v>2029</v>
      </c>
      <c r="L223" s="14" t="str">
        <f>TEXT(tblBookings[[#This Row],[CheckIn]],"MMM")</f>
        <v>Feb</v>
      </c>
      <c r="M223" s="14">
        <f>MONTH(tblBookings[[#This Row],[CheckIn]])</f>
        <v>2</v>
      </c>
      <c r="N223" s="14" t="str">
        <f>"Q"&amp;ROUNDUP(MONTH(tblBookings[[#This Row],[CheckIn]])/3,0)</f>
        <v>Q1</v>
      </c>
    </row>
    <row r="224" spans="1:14" x14ac:dyDescent="0.3">
      <c r="A224" s="1" t="s">
        <v>814</v>
      </c>
      <c r="B224" s="2">
        <v>203</v>
      </c>
      <c r="C224" s="2" t="s">
        <v>154</v>
      </c>
      <c r="D224" s="2" t="s">
        <v>815</v>
      </c>
      <c r="E224" s="2" t="s">
        <v>816</v>
      </c>
      <c r="F224" s="2">
        <v>4</v>
      </c>
      <c r="G224" s="2">
        <v>9345679423</v>
      </c>
      <c r="H224" s="2">
        <v>11097</v>
      </c>
      <c r="I224" s="4" t="s">
        <v>18</v>
      </c>
      <c r="J224" s="6">
        <f>tblBookings[[#This Row],[CheckOut]]-tblBookings[[#This Row],[CheckIn]]</f>
        <v>3</v>
      </c>
      <c r="K224" s="6">
        <f>YEAR(tblBookings[[#This Row],[CheckIn]])</f>
        <v>2029</v>
      </c>
      <c r="L224" s="14" t="str">
        <f>TEXT(tblBookings[[#This Row],[CheckIn]],"MMM")</f>
        <v>Feb</v>
      </c>
      <c r="M224" s="14">
        <f>MONTH(tblBookings[[#This Row],[CheckIn]])</f>
        <v>2</v>
      </c>
      <c r="N224" s="14" t="str">
        <f>"Q"&amp;ROUNDUP(MONTH(tblBookings[[#This Row],[CheckIn]])/3,0)</f>
        <v>Q1</v>
      </c>
    </row>
    <row r="225" spans="1:14" x14ac:dyDescent="0.3">
      <c r="A225" s="5" t="s">
        <v>817</v>
      </c>
      <c r="B225" s="6">
        <v>206</v>
      </c>
      <c r="C225" s="6" t="s">
        <v>818</v>
      </c>
      <c r="D225" s="6" t="s">
        <v>819</v>
      </c>
      <c r="E225" s="7" t="s">
        <v>820</v>
      </c>
      <c r="F225" s="6">
        <v>3</v>
      </c>
      <c r="G225" s="6">
        <v>9456780534</v>
      </c>
      <c r="H225" s="6">
        <v>29995</v>
      </c>
      <c r="I225" s="8" t="s">
        <v>13</v>
      </c>
      <c r="J225" s="6">
        <f>tblBookings[[#This Row],[CheckOut]]-tblBookings[[#This Row],[CheckIn]]</f>
        <v>5</v>
      </c>
      <c r="K225" s="6">
        <f>YEAR(tblBookings[[#This Row],[CheckIn]])</f>
        <v>2029</v>
      </c>
      <c r="L225" s="14" t="str">
        <f>TEXT(tblBookings[[#This Row],[CheckIn]],"MMM")</f>
        <v>Feb</v>
      </c>
      <c r="M225" s="14">
        <f>MONTH(tblBookings[[#This Row],[CheckIn]])</f>
        <v>2</v>
      </c>
      <c r="N225" s="14" t="str">
        <f>"Q"&amp;ROUNDUP(MONTH(tblBookings[[#This Row],[CheckIn]])/3,0)</f>
        <v>Q1</v>
      </c>
    </row>
    <row r="226" spans="1:14" x14ac:dyDescent="0.3">
      <c r="A226" s="1" t="s">
        <v>821</v>
      </c>
      <c r="B226" s="2">
        <v>205</v>
      </c>
      <c r="C226" s="2" t="s">
        <v>277</v>
      </c>
      <c r="D226" s="3" t="s">
        <v>820</v>
      </c>
      <c r="E226" s="2" t="s">
        <v>822</v>
      </c>
      <c r="F226" s="2">
        <v>2</v>
      </c>
      <c r="G226" s="2">
        <v>9567891645</v>
      </c>
      <c r="H226" s="2">
        <v>4398</v>
      </c>
      <c r="I226" s="4" t="s">
        <v>13</v>
      </c>
      <c r="J226" s="6">
        <f>tblBookings[[#This Row],[CheckOut]]-tblBookings[[#This Row],[CheckIn]]</f>
        <v>2</v>
      </c>
      <c r="K226" s="6">
        <f>YEAR(tblBookings[[#This Row],[CheckIn]])</f>
        <v>2029</v>
      </c>
      <c r="L226" s="14" t="str">
        <f>TEXT(tblBookings[[#This Row],[CheckIn]],"MMM")</f>
        <v>Feb</v>
      </c>
      <c r="M226" s="14">
        <f>MONTH(tblBookings[[#This Row],[CheckIn]])</f>
        <v>2</v>
      </c>
      <c r="N226" s="14" t="str">
        <f>"Q"&amp;ROUNDUP(MONTH(tblBookings[[#This Row],[CheckIn]])/3,0)</f>
        <v>Q1</v>
      </c>
    </row>
    <row r="227" spans="1:14" x14ac:dyDescent="0.3">
      <c r="A227" s="5" t="s">
        <v>823</v>
      </c>
      <c r="B227" s="6">
        <v>201</v>
      </c>
      <c r="C227" s="6" t="s">
        <v>824</v>
      </c>
      <c r="D227" s="6" t="s">
        <v>825</v>
      </c>
      <c r="E227" s="7" t="s">
        <v>826</v>
      </c>
      <c r="F227" s="6">
        <v>2</v>
      </c>
      <c r="G227" s="6">
        <v>9678902756</v>
      </c>
      <c r="H227" s="6">
        <v>11596</v>
      </c>
      <c r="I227" s="8" t="s">
        <v>18</v>
      </c>
      <c r="J227" s="6">
        <f>tblBookings[[#This Row],[CheckOut]]-tblBookings[[#This Row],[CheckIn]]</f>
        <v>4</v>
      </c>
      <c r="K227" s="6">
        <f>YEAR(tblBookings[[#This Row],[CheckIn]])</f>
        <v>2029</v>
      </c>
      <c r="L227" s="14" t="str">
        <f>TEXT(tblBookings[[#This Row],[CheckIn]],"MMM")</f>
        <v>Feb</v>
      </c>
      <c r="M227" s="14">
        <f>MONTH(tblBookings[[#This Row],[CheckIn]])</f>
        <v>2</v>
      </c>
      <c r="N227" s="14" t="str">
        <f>"Q"&amp;ROUNDUP(MONTH(tblBookings[[#This Row],[CheckIn]])/3,0)</f>
        <v>Q1</v>
      </c>
    </row>
    <row r="228" spans="1:14" x14ac:dyDescent="0.3">
      <c r="A228" s="1" t="s">
        <v>827</v>
      </c>
      <c r="B228" s="2">
        <v>204</v>
      </c>
      <c r="C228" s="2" t="s">
        <v>190</v>
      </c>
      <c r="D228" s="3" t="s">
        <v>826</v>
      </c>
      <c r="E228" s="3" t="s">
        <v>828</v>
      </c>
      <c r="F228" s="2">
        <v>2</v>
      </c>
      <c r="G228" s="2">
        <v>9789013867</v>
      </c>
      <c r="H228" s="2">
        <v>16796</v>
      </c>
      <c r="I228" s="4" t="s">
        <v>13</v>
      </c>
      <c r="J228" s="6">
        <f>tblBookings[[#This Row],[CheckOut]]-tblBookings[[#This Row],[CheckIn]]</f>
        <v>4</v>
      </c>
      <c r="K228" s="6">
        <f>YEAR(tblBookings[[#This Row],[CheckIn]])</f>
        <v>2029</v>
      </c>
      <c r="L228" s="14" t="str">
        <f>TEXT(tblBookings[[#This Row],[CheckIn]],"MMM")</f>
        <v>Mar</v>
      </c>
      <c r="M228" s="14">
        <f>MONTH(tblBookings[[#This Row],[CheckIn]])</f>
        <v>3</v>
      </c>
      <c r="N228" s="14" t="str">
        <f>"Q"&amp;ROUNDUP(MONTH(tblBookings[[#This Row],[CheckIn]])/3,0)</f>
        <v>Q1</v>
      </c>
    </row>
    <row r="229" spans="1:14" x14ac:dyDescent="0.3">
      <c r="A229" s="5" t="s">
        <v>829</v>
      </c>
      <c r="B229" s="6">
        <v>202</v>
      </c>
      <c r="C229" s="6" t="s">
        <v>100</v>
      </c>
      <c r="D229" s="7" t="s">
        <v>828</v>
      </c>
      <c r="E229" s="7" t="s">
        <v>830</v>
      </c>
      <c r="F229" s="6">
        <v>2</v>
      </c>
      <c r="G229" s="6">
        <v>9890124978</v>
      </c>
      <c r="H229" s="6">
        <v>7497</v>
      </c>
      <c r="I229" s="8" t="s">
        <v>13</v>
      </c>
      <c r="J229" s="6">
        <f>tblBookings[[#This Row],[CheckOut]]-tblBookings[[#This Row],[CheckIn]]</f>
        <v>3</v>
      </c>
      <c r="K229" s="6">
        <f>YEAR(tblBookings[[#This Row],[CheckIn]])</f>
        <v>2029</v>
      </c>
      <c r="L229" s="14" t="str">
        <f>TEXT(tblBookings[[#This Row],[CheckIn]],"MMM")</f>
        <v>Mar</v>
      </c>
      <c r="M229" s="14">
        <f>MONTH(tblBookings[[#This Row],[CheckIn]])</f>
        <v>3</v>
      </c>
      <c r="N229" s="14" t="str">
        <f>"Q"&amp;ROUNDUP(MONTH(tblBookings[[#This Row],[CheckIn]])/3,0)</f>
        <v>Q1</v>
      </c>
    </row>
    <row r="230" spans="1:14" x14ac:dyDescent="0.3">
      <c r="A230" s="1" t="s">
        <v>831</v>
      </c>
      <c r="B230" s="2">
        <v>203</v>
      </c>
      <c r="C230" s="2" t="s">
        <v>225</v>
      </c>
      <c r="D230" s="3" t="s">
        <v>832</v>
      </c>
      <c r="E230" s="3" t="s">
        <v>833</v>
      </c>
      <c r="F230" s="2">
        <v>4</v>
      </c>
      <c r="G230" s="2">
        <v>9901236089</v>
      </c>
      <c r="H230" s="2">
        <v>14796</v>
      </c>
      <c r="I230" s="4" t="s">
        <v>18</v>
      </c>
      <c r="J230" s="6">
        <f>tblBookings[[#This Row],[CheckOut]]-tblBookings[[#This Row],[CheckIn]]</f>
        <v>4</v>
      </c>
      <c r="K230" s="6">
        <f>YEAR(tblBookings[[#This Row],[CheckIn]])</f>
        <v>2029</v>
      </c>
      <c r="L230" s="14" t="str">
        <f>TEXT(tblBookings[[#This Row],[CheckIn]],"MMM")</f>
        <v>Mar</v>
      </c>
      <c r="M230" s="14">
        <f>MONTH(tblBookings[[#This Row],[CheckIn]])</f>
        <v>3</v>
      </c>
      <c r="N230" s="14" t="str">
        <f>"Q"&amp;ROUNDUP(MONTH(tblBookings[[#This Row],[CheckIn]])/3,0)</f>
        <v>Q1</v>
      </c>
    </row>
    <row r="231" spans="1:14" x14ac:dyDescent="0.3">
      <c r="A231" s="5" t="s">
        <v>834</v>
      </c>
      <c r="B231" s="6">
        <v>206</v>
      </c>
      <c r="C231" s="6" t="s">
        <v>201</v>
      </c>
      <c r="D231" s="7" t="s">
        <v>835</v>
      </c>
      <c r="E231" s="7" t="s">
        <v>836</v>
      </c>
      <c r="F231" s="6">
        <v>3</v>
      </c>
      <c r="G231" s="6">
        <v>9012347190</v>
      </c>
      <c r="H231" s="6">
        <v>17997</v>
      </c>
      <c r="I231" s="8" t="s">
        <v>13</v>
      </c>
      <c r="J231" s="6">
        <f>tblBookings[[#This Row],[CheckOut]]-tblBookings[[#This Row],[CheckIn]]</f>
        <v>3</v>
      </c>
      <c r="K231" s="6">
        <f>YEAR(tblBookings[[#This Row],[CheckIn]])</f>
        <v>2029</v>
      </c>
      <c r="L231" s="14" t="str">
        <f>TEXT(tblBookings[[#This Row],[CheckIn]],"MMM")</f>
        <v>Mar</v>
      </c>
      <c r="M231" s="14">
        <f>MONTH(tblBookings[[#This Row],[CheckIn]])</f>
        <v>3</v>
      </c>
      <c r="N231" s="14" t="str">
        <f>"Q"&amp;ROUNDUP(MONTH(tblBookings[[#This Row],[CheckIn]])/3,0)</f>
        <v>Q1</v>
      </c>
    </row>
    <row r="232" spans="1:14" x14ac:dyDescent="0.3">
      <c r="A232" s="1" t="s">
        <v>837</v>
      </c>
      <c r="B232" s="2">
        <v>205</v>
      </c>
      <c r="C232" s="2" t="s">
        <v>838</v>
      </c>
      <c r="D232" s="3" t="s">
        <v>839</v>
      </c>
      <c r="E232" s="3" t="s">
        <v>840</v>
      </c>
      <c r="F232" s="2">
        <v>2</v>
      </c>
      <c r="G232" s="2">
        <v>9123457201</v>
      </c>
      <c r="H232" s="2">
        <v>6597</v>
      </c>
      <c r="I232" s="4" t="s">
        <v>13</v>
      </c>
      <c r="J232" s="6">
        <f>tblBookings[[#This Row],[CheckOut]]-tblBookings[[#This Row],[CheckIn]]</f>
        <v>3</v>
      </c>
      <c r="K232" s="6">
        <f>YEAR(tblBookings[[#This Row],[CheckIn]])</f>
        <v>2029</v>
      </c>
      <c r="L232" s="14" t="str">
        <f>TEXT(tblBookings[[#This Row],[CheckIn]],"MMM")</f>
        <v>Mar</v>
      </c>
      <c r="M232" s="14">
        <f>MONTH(tblBookings[[#This Row],[CheckIn]])</f>
        <v>3</v>
      </c>
      <c r="N232" s="14" t="str">
        <f>"Q"&amp;ROUNDUP(MONTH(tblBookings[[#This Row],[CheckIn]])/3,0)</f>
        <v>Q1</v>
      </c>
    </row>
    <row r="233" spans="1:14" x14ac:dyDescent="0.3">
      <c r="A233" s="5" t="s">
        <v>841</v>
      </c>
      <c r="B233" s="6">
        <v>201</v>
      </c>
      <c r="C233" s="6" t="s">
        <v>842</v>
      </c>
      <c r="D233" s="7" t="s">
        <v>843</v>
      </c>
      <c r="E233" s="7" t="s">
        <v>844</v>
      </c>
      <c r="F233" s="6">
        <v>2</v>
      </c>
      <c r="G233" s="6">
        <v>9234568312</v>
      </c>
      <c r="H233" s="6">
        <v>5798</v>
      </c>
      <c r="I233" s="8" t="s">
        <v>18</v>
      </c>
      <c r="J233" s="6">
        <f>tblBookings[[#This Row],[CheckOut]]-tblBookings[[#This Row],[CheckIn]]</f>
        <v>2</v>
      </c>
      <c r="K233" s="6">
        <f>YEAR(tblBookings[[#This Row],[CheckIn]])</f>
        <v>2029</v>
      </c>
      <c r="L233" s="14" t="str">
        <f>TEXT(tblBookings[[#This Row],[CheckIn]],"MMM")</f>
        <v>Mar</v>
      </c>
      <c r="M233" s="14">
        <f>MONTH(tblBookings[[#This Row],[CheckIn]])</f>
        <v>3</v>
      </c>
      <c r="N233" s="14" t="str">
        <f>"Q"&amp;ROUNDUP(MONTH(tblBookings[[#This Row],[CheckIn]])/3,0)</f>
        <v>Q1</v>
      </c>
    </row>
    <row r="234" spans="1:14" x14ac:dyDescent="0.3">
      <c r="A234" s="1" t="s">
        <v>845</v>
      </c>
      <c r="B234" s="2">
        <v>204</v>
      </c>
      <c r="C234" s="2" t="s">
        <v>846</v>
      </c>
      <c r="D234" s="3" t="s">
        <v>847</v>
      </c>
      <c r="E234" s="3" t="s">
        <v>848</v>
      </c>
      <c r="F234" s="2">
        <v>2</v>
      </c>
      <c r="G234" s="2">
        <v>9345679423</v>
      </c>
      <c r="H234" s="2">
        <v>12597</v>
      </c>
      <c r="I234" s="4" t="s">
        <v>13</v>
      </c>
      <c r="J234" s="6">
        <f>tblBookings[[#This Row],[CheckOut]]-tblBookings[[#This Row],[CheckIn]]</f>
        <v>3</v>
      </c>
      <c r="K234" s="6">
        <f>YEAR(tblBookings[[#This Row],[CheckIn]])</f>
        <v>2029</v>
      </c>
      <c r="L234" s="14" t="str">
        <f>TEXT(tblBookings[[#This Row],[CheckIn]],"MMM")</f>
        <v>Apr</v>
      </c>
      <c r="M234" s="14">
        <f>MONTH(tblBookings[[#This Row],[CheckIn]])</f>
        <v>4</v>
      </c>
      <c r="N234" s="14" t="str">
        <f>"Q"&amp;ROUNDUP(MONTH(tblBookings[[#This Row],[CheckIn]])/3,0)</f>
        <v>Q2</v>
      </c>
    </row>
    <row r="235" spans="1:14" x14ac:dyDescent="0.3">
      <c r="A235" s="5" t="s">
        <v>849</v>
      </c>
      <c r="B235" s="6">
        <v>202</v>
      </c>
      <c r="C235" s="6" t="s">
        <v>850</v>
      </c>
      <c r="D235" s="7" t="s">
        <v>851</v>
      </c>
      <c r="E235" s="7" t="s">
        <v>852</v>
      </c>
      <c r="F235" s="6">
        <v>2</v>
      </c>
      <c r="G235" s="6">
        <v>9456780534</v>
      </c>
      <c r="H235" s="6">
        <v>9996</v>
      </c>
      <c r="I235" s="8" t="s">
        <v>13</v>
      </c>
      <c r="J235" s="6">
        <f>tblBookings[[#This Row],[CheckOut]]-tblBookings[[#This Row],[CheckIn]]</f>
        <v>4</v>
      </c>
      <c r="K235" s="6">
        <f>YEAR(tblBookings[[#This Row],[CheckIn]])</f>
        <v>2029</v>
      </c>
      <c r="L235" s="14" t="str">
        <f>TEXT(tblBookings[[#This Row],[CheckIn]],"MMM")</f>
        <v>Apr</v>
      </c>
      <c r="M235" s="14">
        <f>MONTH(tblBookings[[#This Row],[CheckIn]])</f>
        <v>4</v>
      </c>
      <c r="N235" s="14" t="str">
        <f>"Q"&amp;ROUNDUP(MONTH(tblBookings[[#This Row],[CheckIn]])/3,0)</f>
        <v>Q2</v>
      </c>
    </row>
    <row r="236" spans="1:14" x14ac:dyDescent="0.3">
      <c r="A236" s="1" t="s">
        <v>853</v>
      </c>
      <c r="B236" s="2">
        <v>203</v>
      </c>
      <c r="C236" s="2" t="s">
        <v>854</v>
      </c>
      <c r="D236" s="3" t="s">
        <v>855</v>
      </c>
      <c r="E236" s="3" t="s">
        <v>856</v>
      </c>
      <c r="F236" s="2">
        <v>4</v>
      </c>
      <c r="G236" s="2">
        <v>9567891645</v>
      </c>
      <c r="H236" s="2">
        <v>7398</v>
      </c>
      <c r="I236" s="4" t="s">
        <v>18</v>
      </c>
      <c r="J236" s="6">
        <f>tblBookings[[#This Row],[CheckOut]]-tblBookings[[#This Row],[CheckIn]]</f>
        <v>2</v>
      </c>
      <c r="K236" s="6">
        <f>YEAR(tblBookings[[#This Row],[CheckIn]])</f>
        <v>2029</v>
      </c>
      <c r="L236" s="14" t="str">
        <f>TEXT(tblBookings[[#This Row],[CheckIn]],"MMM")</f>
        <v>Apr</v>
      </c>
      <c r="M236" s="14">
        <f>MONTH(tblBookings[[#This Row],[CheckIn]])</f>
        <v>4</v>
      </c>
      <c r="N236" s="14" t="str">
        <f>"Q"&amp;ROUNDUP(MONTH(tblBookings[[#This Row],[CheckIn]])/3,0)</f>
        <v>Q2</v>
      </c>
    </row>
    <row r="237" spans="1:14" x14ac:dyDescent="0.3">
      <c r="A237" s="5" t="s">
        <v>857</v>
      </c>
      <c r="B237" s="6">
        <v>206</v>
      </c>
      <c r="C237" s="6" t="s">
        <v>406</v>
      </c>
      <c r="D237" s="7" t="s">
        <v>858</v>
      </c>
      <c r="E237" s="7" t="s">
        <v>859</v>
      </c>
      <c r="F237" s="6">
        <v>3</v>
      </c>
      <c r="G237" s="6">
        <v>9678902756</v>
      </c>
      <c r="H237" s="6">
        <v>17997</v>
      </c>
      <c r="I237" s="8" t="s">
        <v>13</v>
      </c>
      <c r="J237" s="6">
        <f>tblBookings[[#This Row],[CheckOut]]-tblBookings[[#This Row],[CheckIn]]</f>
        <v>3</v>
      </c>
      <c r="K237" s="6">
        <f>YEAR(tblBookings[[#This Row],[CheckIn]])</f>
        <v>2029</v>
      </c>
      <c r="L237" s="14" t="str">
        <f>TEXT(tblBookings[[#This Row],[CheckIn]],"MMM")</f>
        <v>Apr</v>
      </c>
      <c r="M237" s="14">
        <f>MONTH(tblBookings[[#This Row],[CheckIn]])</f>
        <v>4</v>
      </c>
      <c r="N237" s="14" t="str">
        <f>"Q"&amp;ROUNDUP(MONTH(tblBookings[[#This Row],[CheckIn]])/3,0)</f>
        <v>Q2</v>
      </c>
    </row>
    <row r="238" spans="1:14" x14ac:dyDescent="0.3">
      <c r="A238" s="1" t="s">
        <v>860</v>
      </c>
      <c r="B238" s="2">
        <v>205</v>
      </c>
      <c r="C238" s="2" t="s">
        <v>92</v>
      </c>
      <c r="D238" s="3" t="s">
        <v>861</v>
      </c>
      <c r="E238" s="3" t="s">
        <v>862</v>
      </c>
      <c r="F238" s="2">
        <v>2</v>
      </c>
      <c r="G238" s="2">
        <v>9789013867</v>
      </c>
      <c r="H238" s="2">
        <v>4398</v>
      </c>
      <c r="I238" s="4" t="s">
        <v>13</v>
      </c>
      <c r="J238" s="6">
        <f>tblBookings[[#This Row],[CheckOut]]-tblBookings[[#This Row],[CheckIn]]</f>
        <v>2</v>
      </c>
      <c r="K238" s="6">
        <f>YEAR(tblBookings[[#This Row],[CheckIn]])</f>
        <v>2029</v>
      </c>
      <c r="L238" s="14" t="str">
        <f>TEXT(tblBookings[[#This Row],[CheckIn]],"MMM")</f>
        <v>Apr</v>
      </c>
      <c r="M238" s="14">
        <f>MONTH(tblBookings[[#This Row],[CheckIn]])</f>
        <v>4</v>
      </c>
      <c r="N238" s="14" t="str">
        <f>"Q"&amp;ROUNDUP(MONTH(tblBookings[[#This Row],[CheckIn]])/3,0)</f>
        <v>Q2</v>
      </c>
    </row>
    <row r="239" spans="1:14" x14ac:dyDescent="0.3">
      <c r="A239" s="5" t="s">
        <v>863</v>
      </c>
      <c r="B239" s="6">
        <v>201</v>
      </c>
      <c r="C239" s="6" t="s">
        <v>864</v>
      </c>
      <c r="D239" s="7" t="s">
        <v>865</v>
      </c>
      <c r="E239" s="7" t="s">
        <v>866</v>
      </c>
      <c r="F239" s="6">
        <v>2</v>
      </c>
      <c r="G239" s="6">
        <v>9890124978</v>
      </c>
      <c r="H239" s="6">
        <v>11596</v>
      </c>
      <c r="I239" s="8" t="s">
        <v>18</v>
      </c>
      <c r="J239" s="6">
        <f>tblBookings[[#This Row],[CheckOut]]-tblBookings[[#This Row],[CheckIn]]</f>
        <v>4</v>
      </c>
      <c r="K239" s="6">
        <f>YEAR(tblBookings[[#This Row],[CheckIn]])</f>
        <v>2029</v>
      </c>
      <c r="L239" s="14" t="str">
        <f>TEXT(tblBookings[[#This Row],[CheckIn]],"MMM")</f>
        <v>Apr</v>
      </c>
      <c r="M239" s="14">
        <f>MONTH(tblBookings[[#This Row],[CheckIn]])</f>
        <v>4</v>
      </c>
      <c r="N239" s="14" t="str">
        <f>"Q"&amp;ROUNDUP(MONTH(tblBookings[[#This Row],[CheckIn]])/3,0)</f>
        <v>Q2</v>
      </c>
    </row>
    <row r="240" spans="1:14" x14ac:dyDescent="0.3">
      <c r="A240" s="1" t="s">
        <v>867</v>
      </c>
      <c r="B240" s="2">
        <v>204</v>
      </c>
      <c r="C240" s="2" t="s">
        <v>446</v>
      </c>
      <c r="D240" s="3" t="s">
        <v>868</v>
      </c>
      <c r="E240" s="3" t="s">
        <v>869</v>
      </c>
      <c r="F240" s="2">
        <v>2</v>
      </c>
      <c r="G240" s="2">
        <v>9901236089</v>
      </c>
      <c r="H240" s="2">
        <v>16796</v>
      </c>
      <c r="I240" s="4" t="s">
        <v>13</v>
      </c>
      <c r="J240" s="6">
        <f>tblBookings[[#This Row],[CheckOut]]-tblBookings[[#This Row],[CheckIn]]</f>
        <v>4</v>
      </c>
      <c r="K240" s="6">
        <f>YEAR(tblBookings[[#This Row],[CheckIn]])</f>
        <v>2029</v>
      </c>
      <c r="L240" s="14" t="str">
        <f>TEXT(tblBookings[[#This Row],[CheckIn]],"MMM")</f>
        <v>May</v>
      </c>
      <c r="M240" s="14">
        <f>MONTH(tblBookings[[#This Row],[CheckIn]])</f>
        <v>5</v>
      </c>
      <c r="N240" s="14" t="str">
        <f>"Q"&amp;ROUNDUP(MONTH(tblBookings[[#This Row],[CheckIn]])/3,0)</f>
        <v>Q2</v>
      </c>
    </row>
    <row r="241" spans="1:14" x14ac:dyDescent="0.3">
      <c r="A241" s="5" t="s">
        <v>870</v>
      </c>
      <c r="B241" s="6">
        <v>202</v>
      </c>
      <c r="C241" s="6" t="s">
        <v>871</v>
      </c>
      <c r="D241" s="7" t="s">
        <v>869</v>
      </c>
      <c r="E241" s="7" t="s">
        <v>872</v>
      </c>
      <c r="F241" s="6">
        <v>2</v>
      </c>
      <c r="G241" s="6">
        <v>9012347190</v>
      </c>
      <c r="H241" s="6">
        <v>7497</v>
      </c>
      <c r="I241" s="8" t="s">
        <v>13</v>
      </c>
      <c r="J241" s="6">
        <f>tblBookings[[#This Row],[CheckOut]]-tblBookings[[#This Row],[CheckIn]]</f>
        <v>3</v>
      </c>
      <c r="K241" s="6">
        <f>YEAR(tblBookings[[#This Row],[CheckIn]])</f>
        <v>2029</v>
      </c>
      <c r="L241" s="14" t="str">
        <f>TEXT(tblBookings[[#This Row],[CheckIn]],"MMM")</f>
        <v>May</v>
      </c>
      <c r="M241" s="14">
        <f>MONTH(tblBookings[[#This Row],[CheckIn]])</f>
        <v>5</v>
      </c>
      <c r="N241" s="14" t="str">
        <f>"Q"&amp;ROUNDUP(MONTH(tblBookings[[#This Row],[CheckIn]])/3,0)</f>
        <v>Q2</v>
      </c>
    </row>
    <row r="242" spans="1:14" x14ac:dyDescent="0.3">
      <c r="A242" s="1" t="s">
        <v>873</v>
      </c>
      <c r="B242" s="2">
        <v>203</v>
      </c>
      <c r="C242" s="2" t="s">
        <v>560</v>
      </c>
      <c r="D242" s="3" t="s">
        <v>874</v>
      </c>
      <c r="E242" s="3" t="s">
        <v>875</v>
      </c>
      <c r="F242" s="2">
        <v>4</v>
      </c>
      <c r="G242" s="2">
        <v>9123457201</v>
      </c>
      <c r="H242" s="2">
        <v>11097</v>
      </c>
      <c r="I242" s="4" t="s">
        <v>18</v>
      </c>
      <c r="J242" s="6">
        <f>tblBookings[[#This Row],[CheckOut]]-tblBookings[[#This Row],[CheckIn]]</f>
        <v>3</v>
      </c>
      <c r="K242" s="6">
        <f>YEAR(tblBookings[[#This Row],[CheckIn]])</f>
        <v>2029</v>
      </c>
      <c r="L242" s="14" t="str">
        <f>TEXT(tblBookings[[#This Row],[CheckIn]],"MMM")</f>
        <v>May</v>
      </c>
      <c r="M242" s="14">
        <f>MONTH(tblBookings[[#This Row],[CheckIn]])</f>
        <v>5</v>
      </c>
      <c r="N242" s="14" t="str">
        <f>"Q"&amp;ROUNDUP(MONTH(tblBookings[[#This Row],[CheckIn]])/3,0)</f>
        <v>Q2</v>
      </c>
    </row>
    <row r="243" spans="1:14" x14ac:dyDescent="0.3">
      <c r="A243" s="5" t="s">
        <v>876</v>
      </c>
      <c r="B243" s="6">
        <v>206</v>
      </c>
      <c r="C243" s="6" t="s">
        <v>178</v>
      </c>
      <c r="D243" s="7" t="s">
        <v>877</v>
      </c>
      <c r="E243" s="7" t="s">
        <v>878</v>
      </c>
      <c r="F243" s="6">
        <v>3</v>
      </c>
      <c r="G243" s="6">
        <v>9234568312</v>
      </c>
      <c r="H243" s="6">
        <v>29995</v>
      </c>
      <c r="I243" s="8" t="s">
        <v>13</v>
      </c>
      <c r="J243" s="6">
        <f>tblBookings[[#This Row],[CheckOut]]-tblBookings[[#This Row],[CheckIn]]</f>
        <v>5</v>
      </c>
      <c r="K243" s="6">
        <f>YEAR(tblBookings[[#This Row],[CheckIn]])</f>
        <v>2029</v>
      </c>
      <c r="L243" s="14" t="str">
        <f>TEXT(tblBookings[[#This Row],[CheckIn]],"MMM")</f>
        <v>May</v>
      </c>
      <c r="M243" s="14">
        <f>MONTH(tblBookings[[#This Row],[CheckIn]])</f>
        <v>5</v>
      </c>
      <c r="N243" s="14" t="str">
        <f>"Q"&amp;ROUNDUP(MONTH(tblBookings[[#This Row],[CheckIn]])/3,0)</f>
        <v>Q2</v>
      </c>
    </row>
    <row r="244" spans="1:14" x14ac:dyDescent="0.3">
      <c r="A244" s="1" t="s">
        <v>879</v>
      </c>
      <c r="B244" s="2">
        <v>205</v>
      </c>
      <c r="C244" s="2" t="s">
        <v>221</v>
      </c>
      <c r="D244" s="3" t="s">
        <v>878</v>
      </c>
      <c r="E244" s="3" t="s">
        <v>880</v>
      </c>
      <c r="F244" s="2">
        <v>2</v>
      </c>
      <c r="G244" s="2">
        <v>9345679423</v>
      </c>
      <c r="H244" s="2">
        <v>4398</v>
      </c>
      <c r="I244" s="4" t="s">
        <v>13</v>
      </c>
      <c r="J244" s="6">
        <f>tblBookings[[#This Row],[CheckOut]]-tblBookings[[#This Row],[CheckIn]]</f>
        <v>2</v>
      </c>
      <c r="K244" s="6">
        <f>YEAR(tblBookings[[#This Row],[CheckIn]])</f>
        <v>2029</v>
      </c>
      <c r="L244" s="14" t="str">
        <f>TEXT(tblBookings[[#This Row],[CheckIn]],"MMM")</f>
        <v>May</v>
      </c>
      <c r="M244" s="14">
        <f>MONTH(tblBookings[[#This Row],[CheckIn]])</f>
        <v>5</v>
      </c>
      <c r="N244" s="14" t="str">
        <f>"Q"&amp;ROUNDUP(MONTH(tblBookings[[#This Row],[CheckIn]])/3,0)</f>
        <v>Q2</v>
      </c>
    </row>
    <row r="245" spans="1:14" x14ac:dyDescent="0.3">
      <c r="A245" s="5" t="s">
        <v>881</v>
      </c>
      <c r="B245" s="6">
        <v>201</v>
      </c>
      <c r="C245" s="6" t="s">
        <v>660</v>
      </c>
      <c r="D245" s="7" t="s">
        <v>882</v>
      </c>
      <c r="E245" s="7" t="s">
        <v>883</v>
      </c>
      <c r="F245" s="6">
        <v>2</v>
      </c>
      <c r="G245" s="6">
        <v>9456780534</v>
      </c>
      <c r="H245" s="6">
        <v>11596</v>
      </c>
      <c r="I245" s="8" t="s">
        <v>18</v>
      </c>
      <c r="J245" s="6">
        <f>tblBookings[[#This Row],[CheckOut]]-tblBookings[[#This Row],[CheckIn]]</f>
        <v>4</v>
      </c>
      <c r="K245" s="6">
        <f>YEAR(tblBookings[[#This Row],[CheckIn]])</f>
        <v>2029</v>
      </c>
      <c r="L245" s="14" t="str">
        <f>TEXT(tblBookings[[#This Row],[CheckIn]],"MMM")</f>
        <v>May</v>
      </c>
      <c r="M245" s="14">
        <f>MONTH(tblBookings[[#This Row],[CheckIn]])</f>
        <v>5</v>
      </c>
      <c r="N245" s="14" t="str">
        <f>"Q"&amp;ROUNDUP(MONTH(tblBookings[[#This Row],[CheckIn]])/3,0)</f>
        <v>Q2</v>
      </c>
    </row>
    <row r="246" spans="1:14" x14ac:dyDescent="0.3">
      <c r="A246" s="1" t="s">
        <v>884</v>
      </c>
      <c r="B246" s="2">
        <v>204</v>
      </c>
      <c r="C246" s="2" t="s">
        <v>664</v>
      </c>
      <c r="D246" s="3" t="s">
        <v>885</v>
      </c>
      <c r="E246" s="3" t="s">
        <v>886</v>
      </c>
      <c r="F246" s="2">
        <v>2</v>
      </c>
      <c r="G246" s="2">
        <v>9567891645</v>
      </c>
      <c r="H246" s="2">
        <v>12597</v>
      </c>
      <c r="I246" s="4" t="s">
        <v>13</v>
      </c>
      <c r="J246" s="6">
        <f>tblBookings[[#This Row],[CheckOut]]-tblBookings[[#This Row],[CheckIn]]</f>
        <v>3</v>
      </c>
      <c r="K246" s="6">
        <f>YEAR(tblBookings[[#This Row],[CheckIn]])</f>
        <v>2029</v>
      </c>
      <c r="L246" s="14" t="str">
        <f>TEXT(tblBookings[[#This Row],[CheckIn]],"MMM")</f>
        <v>Jun</v>
      </c>
      <c r="M246" s="14">
        <f>MONTH(tblBookings[[#This Row],[CheckIn]])</f>
        <v>6</v>
      </c>
      <c r="N246" s="14" t="str">
        <f>"Q"&amp;ROUNDUP(MONTH(tblBookings[[#This Row],[CheckIn]])/3,0)</f>
        <v>Q2</v>
      </c>
    </row>
    <row r="247" spans="1:14" x14ac:dyDescent="0.3">
      <c r="A247" s="5" t="s">
        <v>887</v>
      </c>
      <c r="B247" s="6">
        <v>202</v>
      </c>
      <c r="C247" s="6" t="s">
        <v>44</v>
      </c>
      <c r="D247" s="7" t="s">
        <v>888</v>
      </c>
      <c r="E247" s="7" t="s">
        <v>889</v>
      </c>
      <c r="F247" s="6">
        <v>2</v>
      </c>
      <c r="G247" s="6">
        <v>9678902756</v>
      </c>
      <c r="H247" s="6">
        <v>7497</v>
      </c>
      <c r="I247" s="8" t="s">
        <v>13</v>
      </c>
      <c r="J247" s="6">
        <f>tblBookings[[#This Row],[CheckOut]]-tblBookings[[#This Row],[CheckIn]]</f>
        <v>3</v>
      </c>
      <c r="K247" s="6">
        <f>YEAR(tblBookings[[#This Row],[CheckIn]])</f>
        <v>2029</v>
      </c>
      <c r="L247" s="14" t="str">
        <f>TEXT(tblBookings[[#This Row],[CheckIn]],"MMM")</f>
        <v>Jun</v>
      </c>
      <c r="M247" s="14">
        <f>MONTH(tblBookings[[#This Row],[CheckIn]])</f>
        <v>6</v>
      </c>
      <c r="N247" s="14" t="str">
        <f>"Q"&amp;ROUNDUP(MONTH(tblBookings[[#This Row],[CheckIn]])/3,0)</f>
        <v>Q2</v>
      </c>
    </row>
    <row r="248" spans="1:14" x14ac:dyDescent="0.3">
      <c r="A248" s="1" t="s">
        <v>890</v>
      </c>
      <c r="B248" s="2">
        <v>203</v>
      </c>
      <c r="C248" s="2" t="s">
        <v>252</v>
      </c>
      <c r="D248" s="3" t="s">
        <v>891</v>
      </c>
      <c r="E248" s="3" t="s">
        <v>892</v>
      </c>
      <c r="F248" s="2">
        <v>4</v>
      </c>
      <c r="G248" s="2">
        <v>9789013867</v>
      </c>
      <c r="H248" s="2">
        <v>14796</v>
      </c>
      <c r="I248" s="4" t="s">
        <v>18</v>
      </c>
      <c r="J248" s="6">
        <f>tblBookings[[#This Row],[CheckOut]]-tblBookings[[#This Row],[CheckIn]]</f>
        <v>4</v>
      </c>
      <c r="K248" s="6">
        <f>YEAR(tblBookings[[#This Row],[CheckIn]])</f>
        <v>2029</v>
      </c>
      <c r="L248" s="14" t="str">
        <f>TEXT(tblBookings[[#This Row],[CheckIn]],"MMM")</f>
        <v>Jun</v>
      </c>
      <c r="M248" s="14">
        <f>MONTH(tblBookings[[#This Row],[CheckIn]])</f>
        <v>6</v>
      </c>
      <c r="N248" s="14" t="str">
        <f>"Q"&amp;ROUNDUP(MONTH(tblBookings[[#This Row],[CheckIn]])/3,0)</f>
        <v>Q2</v>
      </c>
    </row>
    <row r="249" spans="1:14" x14ac:dyDescent="0.3">
      <c r="A249" s="5" t="s">
        <v>893</v>
      </c>
      <c r="B249" s="6">
        <v>206</v>
      </c>
      <c r="C249" s="6" t="s">
        <v>248</v>
      </c>
      <c r="D249" s="7" t="s">
        <v>894</v>
      </c>
      <c r="E249" s="7" t="s">
        <v>895</v>
      </c>
      <c r="F249" s="6">
        <v>3</v>
      </c>
      <c r="G249" s="6">
        <v>9890124978</v>
      </c>
      <c r="H249" s="6">
        <v>17997</v>
      </c>
      <c r="I249" s="8" t="s">
        <v>13</v>
      </c>
      <c r="J249" s="6">
        <f>tblBookings[[#This Row],[CheckOut]]-tblBookings[[#This Row],[CheckIn]]</f>
        <v>3</v>
      </c>
      <c r="K249" s="6">
        <f>YEAR(tblBookings[[#This Row],[CheckIn]])</f>
        <v>2029</v>
      </c>
      <c r="L249" s="14" t="str">
        <f>TEXT(tblBookings[[#This Row],[CheckIn]],"MMM")</f>
        <v>Jun</v>
      </c>
      <c r="M249" s="14">
        <f>MONTH(tblBookings[[#This Row],[CheckIn]])</f>
        <v>6</v>
      </c>
      <c r="N249" s="14" t="str">
        <f>"Q"&amp;ROUNDUP(MONTH(tblBookings[[#This Row],[CheckIn]])/3,0)</f>
        <v>Q2</v>
      </c>
    </row>
    <row r="250" spans="1:14" x14ac:dyDescent="0.3">
      <c r="A250" s="1" t="s">
        <v>896</v>
      </c>
      <c r="B250" s="2">
        <v>205</v>
      </c>
      <c r="C250" s="2" t="s">
        <v>676</v>
      </c>
      <c r="D250" s="3" t="s">
        <v>897</v>
      </c>
      <c r="E250" s="3" t="s">
        <v>898</v>
      </c>
      <c r="F250" s="2">
        <v>2</v>
      </c>
      <c r="G250" s="2">
        <v>9901236089</v>
      </c>
      <c r="H250" s="2">
        <v>6597</v>
      </c>
      <c r="I250" s="4" t="s">
        <v>13</v>
      </c>
      <c r="J250" s="6">
        <f>tblBookings[[#This Row],[CheckOut]]-tblBookings[[#This Row],[CheckIn]]</f>
        <v>3</v>
      </c>
      <c r="K250" s="6">
        <f>YEAR(tblBookings[[#This Row],[CheckIn]])</f>
        <v>2029</v>
      </c>
      <c r="L250" s="14" t="str">
        <f>TEXT(tblBookings[[#This Row],[CheckIn]],"MMM")</f>
        <v>Jun</v>
      </c>
      <c r="M250" s="14">
        <f>MONTH(tblBookings[[#This Row],[CheckIn]])</f>
        <v>6</v>
      </c>
      <c r="N250" s="14" t="str">
        <f>"Q"&amp;ROUNDUP(MONTH(tblBookings[[#This Row],[CheckIn]])/3,0)</f>
        <v>Q2</v>
      </c>
    </row>
    <row r="251" spans="1:14" x14ac:dyDescent="0.3">
      <c r="A251" s="9" t="s">
        <v>899</v>
      </c>
      <c r="B251" s="10">
        <v>201</v>
      </c>
      <c r="C251" s="10" t="s">
        <v>364</v>
      </c>
      <c r="D251" s="11" t="s">
        <v>900</v>
      </c>
      <c r="E251" s="11" t="s">
        <v>901</v>
      </c>
      <c r="F251" s="10">
        <v>2</v>
      </c>
      <c r="G251" s="10">
        <v>9012347190</v>
      </c>
      <c r="H251" s="10">
        <v>5798</v>
      </c>
      <c r="I251" s="12" t="s">
        <v>18</v>
      </c>
      <c r="J251" s="10">
        <f>tblBookings[[#This Row],[CheckOut]]-tblBookings[[#This Row],[CheckIn]]</f>
        <v>2</v>
      </c>
      <c r="K251" s="10">
        <f>YEAR(tblBookings[[#This Row],[CheckIn]])</f>
        <v>2029</v>
      </c>
      <c r="L251" s="14" t="str">
        <f>TEXT(tblBookings[[#This Row],[CheckIn]],"MMM")</f>
        <v>Jun</v>
      </c>
      <c r="M251" s="14">
        <f>MONTH(tblBookings[[#This Row],[CheckIn]])</f>
        <v>6</v>
      </c>
      <c r="N251" s="14" t="str">
        <f>"Q"&amp;ROUNDUP(MONTH(tblBookings[[#This Row],[CheckIn]])/3,0)</f>
        <v>Q2</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B7A96-6EC6-4C17-8130-C269FFBDB8D7}">
  <dimension ref="A1"/>
  <sheetViews>
    <sheetView topLeftCell="B1" zoomScale="70" zoomScaleNormal="70" workbookViewId="0">
      <selection activeCell="F16" sqref="F16"/>
    </sheetView>
  </sheetViews>
  <sheetFormatPr defaultRowHeight="1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 CARDS</vt:lpstr>
      <vt:lpstr>Monthly Revenue Trend</vt:lpstr>
      <vt:lpstr>Payment Status Chart</vt:lpstr>
      <vt:lpstr>Room-wise Revenue</vt:lpstr>
      <vt:lpstr>Room-wise Bookings</vt:lpstr>
      <vt:lpstr>Guest Capacity Analysis</vt:lpstr>
      <vt:lpstr>Revenue by Payment Status</vt:lpstr>
      <vt:lpstr>Slicers</vt:lpstr>
      <vt:lpstr>Dashboard</vt:lpstr>
      <vt:lpstr>Data</vt:lpstr>
      <vt:lpstr>Dashboard - UI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Varunesh T</dc:creator>
  <cp:lastModifiedBy>Varunesh T</cp:lastModifiedBy>
  <cp:lastPrinted>2026-06-15T16:32:56Z</cp:lastPrinted>
  <dcterms:created xsi:type="dcterms:W3CDTF">2026-06-15T11:22:57Z</dcterms:created>
  <dcterms:modified xsi:type="dcterms:W3CDTF">2026-06-18T10:46:25Z</dcterms:modified>
</cp:coreProperties>
</file>