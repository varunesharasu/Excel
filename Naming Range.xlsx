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61CD859E-3A6D-4814-871C-E62B2FE81D90}" xr6:coauthVersionLast="47" xr6:coauthVersionMax="47" xr10:uidLastSave="{00000000-0000-0000-0000-000000000000}"/>
  <bookViews>
    <workbookView xWindow="-110" yWindow="-110" windowWidth="19420" windowHeight="11020" xr2:uid="{24CE2151-FC2E-4A56-954F-BAEE307E7682}"/>
  </bookViews>
  <sheets>
    <sheet name="Sheet1" sheetId="1" r:id="rId1"/>
  </sheets>
  <definedNames>
    <definedName name="name">Sheet1!$A$2:$A$14</definedName>
    <definedName name="salary">Sheet1!$B$2:$B$14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 a="1"/>
  <c r="P9" i="1" s="1"/>
  <c r="L8" i="1" a="1"/>
  <c r="L8" i="1" s="1"/>
  <c r="J10" i="1"/>
  <c r="J9" i="1"/>
  <c r="J8" i="1"/>
  <c r="J7" i="1"/>
  <c r="J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<sst xmlns="http://schemas.openxmlformats.org/spreadsheetml/2006/main" count="20" uniqueCount="20">
  <si>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Employee Name</t>
  </si>
  <si>
    <t>Basic</t>
  </si>
  <si>
    <t>Anjali Thakur</t>
  </si>
  <si>
    <t>Anjum Chopra</t>
  </si>
  <si>
    <t>Anupam Mishra</t>
  </si>
  <si>
    <t>Arjun Jain</t>
  </si>
  <si>
    <t>Arjun Kapoor</t>
  </si>
  <si>
    <t>Ashwini</t>
  </si>
  <si>
    <t>Jharna Biswal</t>
  </si>
  <si>
    <t>JP Kumar</t>
  </si>
  <si>
    <t>Manish Grover</t>
  </si>
  <si>
    <t>Manisha Guha</t>
  </si>
  <si>
    <t>Prakash Dutta</t>
  </si>
  <si>
    <t>Prateek Babbar</t>
  </si>
  <si>
    <t>Priya Agarwal</t>
  </si>
  <si>
    <t>Sum</t>
  </si>
  <si>
    <t>Average</t>
  </si>
  <si>
    <t>Max</t>
  </si>
  <si>
    <t>Min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</si>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</sst>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5CCFC-EA55-4AAC-AA47-1D2673F395C9}">
  <dimension ref="A1:P21"/>
  <sheetViews>
    <sheetView tabSelected="1" workbookViewId="0">
      <selection activeCell="O4" sqref="O4"/>
    </sheetView>
  </sheetViews>
  <sheetFormatPr defaultRowHeight="14.5" x14ac:dyDescent="0.35"/>
  <cols>
    <col min="1" max="1" width="14.453125" bestFit="1" customWidth="1"/>
    <col min="2" max="2" width="5.81640625" bestFit="1" customWidth="1"/>
    <col min="16" max="16" width="14.26953125" bestFit="1" customWidth="1"/>
  </cols>
  <sheetData>
    <row r="1" spans="1:16" x14ac:dyDescent="0.35">
      <c r="A1" s="1" t="s">
        <v>0</v>
      </c>
      <c r="B1" t="s">
        <v>1</v>
      </c>
    </row>
    <row r="2" spans="1:16" x14ac:dyDescent="0.35">
      <c r="A2" t="s">
        <v>2</v>
      </c>
      <c r="B2">
        <v>10000</v>
      </c>
    </row>
    <row r="3" spans="1:16" x14ac:dyDescent="0.35">
      <c r="A3" t="s">
        <v>3</v>
      </c>
      <c r="B3">
        <v>12000</v>
      </c>
    </row>
    <row r="4" spans="1:16" x14ac:dyDescent="0.35">
      <c r="A4" t="s">
        <v>4</v>
      </c>
      <c r="B4">
        <v>11250</v>
      </c>
    </row>
    <row r="5" spans="1:16" x14ac:dyDescent="0.35">
      <c r="A5" t="s">
        <v>5</v>
      </c>
      <c r="B5">
        <v>12000</v>
      </c>
    </row>
    <row r="6" spans="1:16" x14ac:dyDescent="0.35">
      <c r="A6" t="s">
        <v>6</v>
      </c>
      <c r="B6">
        <v>16250</v>
      </c>
      <c r="I6" t="s">
        <v>15</v>
      </c>
      <c r="J6">
        <f>SUM(B2:B14)</f>
        <v>131175</v>
      </c>
    </row>
    <row r="7" spans="1:16" x14ac:dyDescent="0.35">
      <c r="A7" t="s">
        <v>7</v>
      </c>
      <c r="B7">
        <v>6400</v>
      </c>
      <c r="I7" t="s">
        <v>16</v>
      </c>
      <c r="J7">
        <f>AVERAGE(B2:B14)</f>
        <v>10090.384615384615</v>
      </c>
    </row>
    <row r="8" spans="1:16" x14ac:dyDescent="0.35">
      <c r="A8" t="s">
        <v>8</v>
      </c>
      <c r="B8">
        <v>4500</v>
      </c>
      <c r="I8" t="s">
        <v>17</v>
      </c>
      <c r="J8">
        <f>MAX(B2:B14)</f>
        <v>16250</v>
      </c>
      <c r="L8" cm="1">
        <f t="array" ref="L8:L20">salary</f>
        <v>10000</v>
      </c>
    </row>
    <row r="9" spans="1:16" x14ac:dyDescent="0.35">
      <c r="A9" t="s">
        <v>9</v>
      </c>
      <c r="B9">
        <v>6275</v>
      </c>
      <c r="I9" t="s">
        <v>18</v>
      </c>
      <c r="J9">
        <f>MIN(B2:B14)</f>
        <v>4500</v>
      </c>
      <c r="L9">
        <v>12000</v>
      </c>
      <c r="P9" t="str" cm="1">
        <f t="array" ref="P9:P21">name</f>
        <v>Anjali Thakur</v>
      </c>
    </row>
    <row r="10" spans="1:16" x14ac:dyDescent="0.35">
      <c r="A10" t="s">
        <v>10</v>
      </c>
      <c r="B10">
        <v>6250</v>
      </c>
      <c r="I10" t="s">
        <v>19</v>
      </c>
      <c r="J10">
        <f>COUNT(B2:B14)</f>
        <v>13</v>
      </c>
      <c r="L10">
        <v>11250</v>
      </c>
      <c r="P10" t="str">
        <v>Anjum Chopra</v>
      </c>
    </row>
    <row r="11" spans="1:16" x14ac:dyDescent="0.35">
      <c r="A11" t="s">
        <v>11</v>
      </c>
      <c r="B11">
        <v>8750</v>
      </c>
      <c r="L11">
        <v>12000</v>
      </c>
      <c r="P11" t="str">
        <v>Anupam Mishra</v>
      </c>
    </row>
    <row r="12" spans="1:16" x14ac:dyDescent="0.35">
      <c r="A12" t="s">
        <v>12</v>
      </c>
      <c r="B12">
        <v>11250</v>
      </c>
      <c r="L12">
        <v>16250</v>
      </c>
      <c r="P12" t="str">
        <v>Arjun Jain</v>
      </c>
    </row>
    <row r="13" spans="1:16" x14ac:dyDescent="0.35">
      <c r="A13" t="s">
        <v>13</v>
      </c>
      <c r="B13">
        <v>10000</v>
      </c>
      <c r="L13">
        <v>6400</v>
      </c>
      <c r="P13" t="str">
        <v>Arjun Kapoor</v>
      </c>
    </row>
    <row r="14" spans="1:16" x14ac:dyDescent="0.35">
      <c r="A14" t="s">
        <v>14</v>
      </c>
      <c r="B14">
        <v>16250</v>
      </c>
      <c r="L14">
        <v>4500</v>
      </c>
      <c r="P14" t="str">
        <v>Ashwini</v>
      </c>
    </row>
    <row r="15" spans="1:16" x14ac:dyDescent="0.35">
      <c r="L15">
        <v>6275</v>
      </c>
      <c r="P15" t="str">
        <v>Jharna Biswal</v>
      </c>
    </row>
    <row r="16" spans="1:16" x14ac:dyDescent="0.35">
      <c r="L16">
        <v>6250</v>
      </c>
      <c r="P16" t="str">
        <v>JP Kumar</v>
      </c>
    </row>
    <row r="17" spans="12:16" x14ac:dyDescent="0.35">
      <c r="L17">
        <v>8750</v>
      </c>
      <c r="P17" t="str">
        <v>Manish Grover</v>
      </c>
    </row>
    <row r="18" spans="12:16" x14ac:dyDescent="0.35">
      <c r="L18">
        <v>11250</v>
      </c>
      <c r="P18" t="str">
        <v>Manisha Guha</v>
      </c>
    </row>
    <row r="19" spans="12:16" x14ac:dyDescent="0.35">
      <c r="L19">
        <v>10000</v>
      </c>
      <c r="P19" t="str">
        <v>Prakash Dutta</v>
      </c>
    </row>
    <row r="20" spans="12:16" x14ac:dyDescent="0.35">
      <c r="L20">
        <v>16250</v>
      </c>
      <c r="P20" t="str">
        <v>Prateek Babbar</v>
      </c>
    </row>
    <row r="21" spans="12:16" x14ac:dyDescent="0.35">
      <c r="P21" t="str">
        <v>Priya Agarwal</v>
      </c>
    </row>
  </sheetData>
  <dataValidations count="2">
    <dataValidation type="custom" operator="greaterThanOrEqual" allowBlank="1" showInputMessage="1" showErrorMessage="1" sqref="B2:B14" xr:uid="{8A39606C-B604-435B-84DA-A08869483B8B}">
      <formula1>ISNUMBER(B2)</formula1>
    </dataValidation>
    <dataValidation type="custom" allowBlank="1" showInputMessage="1" showErrorMessage="1" sqref="A1:A14" xr:uid="{FE408D2D-D19A-4765-B26C-B75A652C47CD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name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2026-05-14T06:45:47Z</dcterms:created>
  <dcterms:modified xsi:type="dcterms:W3CDTF">2026-05-14T07:02:17Z</dcterms:modified>
</cp:coreProperties>
</file>