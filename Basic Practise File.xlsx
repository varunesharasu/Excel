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0F5BBC6B-32DE-4D4C-8E47-5591D363D02C}" xr6:coauthVersionLast="47" xr6:coauthVersionMax="47" xr10:uidLastSave="{00000000-0000-0000-0000-000000000000}"/>
  <bookViews>
    <workbookView xWindow="-110" yWindow="-110" windowWidth="19420" windowHeight="11020" tabRatio="955" activeTab="6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0" i="7" l="1"/>
  <c r="I31" i="7"/>
  <c r="I32" i="7"/>
  <c r="I33" i="7"/>
  <c r="I34" i="7"/>
  <c r="I35" i="7"/>
  <c r="I29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" i="7"/>
  <c r="M10" i="7"/>
  <c r="M9" i="7"/>
  <c r="M8" i="7"/>
  <c r="J9" i="7"/>
  <c r="J8" i="7"/>
  <c r="J7" i="7"/>
  <c r="J6" i="7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6" i="1"/>
  <c r="V7" i="1"/>
  <c r="V8" i="1"/>
  <c r="V9" i="1"/>
  <c r="V10" i="1"/>
  <c r="V11" i="1"/>
  <c r="V2" i="1"/>
  <c r="T3" i="1"/>
  <c r="T4" i="1"/>
  <c r="R3" i="1"/>
  <c r="R4" i="1"/>
  <c r="R5" i="1"/>
  <c r="R6" i="1"/>
  <c r="S3" i="1"/>
  <c r="S4" i="1"/>
  <c r="S5" i="1"/>
  <c r="S6" i="1"/>
  <c r="S7" i="1"/>
  <c r="S8" i="1"/>
  <c r="S9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C11" i="11"/>
  <c r="A6" i="12"/>
  <c r="U2" i="1" l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sharedStrings.xml><?xml version="1.0" encoding="utf-8"?>
<sst xmlns="http://schemas.openxmlformats.org/spreadsheetml/2006/main" count="516" uniqueCount="323">
  <si>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</si>
  <si>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</si>
  <si>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</si>
  <si>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</si>
  <si>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</si>
  <si>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</si>
  <si>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</si>
  <si>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</si>
  <si>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</si>
  <si>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</si>
  <si>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</si>
  <si>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</si>
  <si>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</si>
  <si>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</si>
  <si>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</si>
  <si>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</si>
  <si>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</si>
  <si>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</si>
  <si>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</si>
  <si>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</si>
  <si>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</si>
  <si>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</si>
  <si>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</si>
  <si>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</si>
  <si>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</si>
  <si>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</si>
  <si>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</si>
  <si>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</si>
  <si>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</si>
  <si>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</si>
  <si>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</si>
  <si>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</si>
  <si>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</si>
  <si>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</si>
  <si>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</si>
  <si>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</si>
  <si>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</si>
  <si>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</si>
  <si>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</si>
  <si>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</si>
  <si>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</si>
  <si>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</si>
  <si>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</si>
  <si>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</si>
  <si>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</si>
  <si>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</si>
  <si>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</si>
  <si>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</si>
  <si>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</si>
  <si>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</si>
  <si>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</si>
  <si>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</si>
  <si>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</si>
  <si>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</si>
  <si>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</si>
  <si>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</si>
  <si>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</si>
  <si>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</si>
  <si>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</si>
  <si>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</si>
  <si>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</si>
  <si>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</si>
  <si>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</si>
  <si>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</si>
  <si>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</si>
  <si>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</si>
  <si>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</si>
  <si>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</si>
  <si>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</si>
  <si>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</si>
  <si>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</si>
  <si>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</si>
  <si>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</si>
  <si>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</si>
  <si>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</si>
  <si>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</si>
  <si>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</si>
  <si>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</si>
  <si>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</si>
  <si>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</si>
  <si>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</si>
  <si>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</si>
  <si>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</si>
  <si>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</si>
  <si>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</si>
  <si>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</si>
  <si>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</si>
  <si>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</si>
  <si>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</si>
  <si>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</si>
  <si>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Emp Code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</si>
  <si>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</si>
  <si>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</si>
  <si>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</si>
  <si>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</si>
  <si>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</si>
  <si>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</si>
  <si>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</si>
  <si>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</si>
  <si>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</si>
  <si>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</si>
  <si>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</si>
  <si>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</si>
  <si>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</si>
  <si>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</si>
  <si>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</si>
  <si>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</si>
  <si>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</si>
  <si>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</si>
  <si>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</si>
  <si>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</si>
  <si>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</si>
  <si>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</si>
  <si>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</si>
  <si>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</si>
  <si>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</si>
  <si>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</si>
  <si>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</si>
  <si>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</si>
  <si>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</si>
  <si>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</si>
  <si>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</si>
  <si>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</si>
  <si>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</si>
  <si>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</si>
  <si>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</si>
  <si>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</si>
  <si>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</si>
  <si>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</si>
  <si>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</si>
  <si>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</si>
  <si>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</si>
  <si>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</si>
  <si>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</si>
  <si>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</si>
  <si>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</si>
  <si>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</si>
  <si>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</si>
  <si>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</si>
  <si>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</si>
  <si>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</si>
  <si>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</si>
  <si>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</si>
  <si>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</si>
  <si>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</si>
  <si>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</si>
  <si>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</si>
  <si>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</si>
  <si>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</si>
  <si>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</si>
  <si>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</si>
  <si>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</si>
  <si>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</si>
  <si>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</si>
  <si>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</si>
  <si>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</si>
  <si>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</si>
  <si>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</si>
  <si>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</si>
  <si>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</si>
  <si>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</si>
  <si>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</si>
  <si>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</si>
  <si>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</si>
  <si>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</si>
  <si>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</si>
  <si>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</si>
  <si>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</si>
  <si>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</si>
  <si>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</si>
  <si>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</si>
  <si>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</si>
  <si>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</si>
  <si>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</si>
  <si>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</si>
  <si>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</si>
  <si>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</si>
  <si>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</si>
  <si>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</si>
  <si>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</si>
  <si>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</si>
  <si>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</si>
  <si>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</si>
  <si>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</si>
  <si>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</si>
  <si>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</si>
  <si>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</si>
  <si>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</si>
  <si>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</si>
  <si>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</si>
  <si>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</si>
  <si>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</si>
  <si>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</si>
  <si>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</si>
  <si>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</si>
  <si>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</si>
  <si>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</si>
  <si>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</si>
  <si>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</si>
  <si>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</si>
  <si>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</si>
  <si>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</si>
  <si>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</si>
  <si>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</si>
  <si>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</si>
  <si>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</si>
  <si>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</si>
  <si>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</si>
  <si>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</si>
  <si>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</si>
  <si>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</si>
  <si>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</si>
  <si>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</si>
  <si>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</si>
  <si>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</si>
  <si>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</si>
  <si>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</si>
  <si>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</si>
  <si>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</si>
  <si>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</si>
  <si>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</si>
  <si>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</si>
  <si>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</si>
  <si>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</si>
  <si>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</si>
  <si>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</si>
  <si>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</si>
  <si>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</si>
  <si>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</si>
  <si>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</si>
  <si>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</si>
  <si>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</si>
  <si>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</si>
  <si>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</si>
  <si>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</si>
  <si>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Anjali ,Thakur</t>
  </si>
  <si>
    <t>Jharna ,Biswal</t>
  </si>
  <si>
    <t>Prakash#Dutta</t>
  </si>
  <si>
    <t>Manisha;Guha</t>
  </si>
  <si>
    <t>Arjun,JAiN</t>
  </si>
  <si>
    <t>Arjun#Kapoor</t>
  </si>
  <si>
    <t>R#Vasu,Muthanna</t>
  </si>
  <si>
    <t>"Priya AgarwaL"</t>
  </si>
  <si>
    <t>"Ajay Kumar"</t>
  </si>
  <si>
    <t>Sanjay;Gupta</t>
  </si>
  <si>
    <t>Example-1</t>
  </si>
  <si>
    <t>Example-2</t>
  </si>
  <si>
    <t>Example-3</t>
  </si>
  <si>
    <t>Example-4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</si>
  <si>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</si>
  <si>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</si>
  <si>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</si>
  <si>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</si>
  <si>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</si>
  <si>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</si>
  <si>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</si>
  <si>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</si>
  <si>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</si>
  <si>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</si>
  <si>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</si>
  <si>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</si>
  <si>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</si>
  <si>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</si>
  <si>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</si>
  <si>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</si>
  <si>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</si>
  <si>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</si>
  <si>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</si>
  <si>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</si>
  <si>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</si>
  <si>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</si>
  <si>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</si>
  <si>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</si>
  <si>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</si>
  <si>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</si>
  <si>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</si>
  <si>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</si>
  <si>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</si>
  <si>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</si>
  <si>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</si>
  <si>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</si>
  <si>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</si>
  <si>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</si>
  <si>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</si>
  <si>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</si>
  <si>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</si>
  <si>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</si>
  <si>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</si>
  <si>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</si>
  <si>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</si>
  <si>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</si>
  <si>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</si>
  <si>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</si>
  <si>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</si>
  <si>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</si>
  <si>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</si>
  <si>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</si>
  <si>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</si>
  <si>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</si>
  <si>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</si>
  <si>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</si>
  <si>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</si>
  <si>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</si>
  <si>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</si>
  <si>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</si>
  <si>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</si>
  <si>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</si>
  <si>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</si>
  <si>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</si>
  <si>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</si>
  <si>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</si>
  <si>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</si>
  <si>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</si>
  <si>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</si>
  <si>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</si>
  <si>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</si>
  <si>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</si>
  <si>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</si>
  <si>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</si>
  <si>
    <t>*=rank(g2,fn+f4[g2:g21])</t>
  </si>
  <si>
    <t>Dense rank</t>
  </si>
  <si>
    <t>lowest rank</t>
  </si>
  <si>
    <t>highest 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</si>
</sst>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195</v>
      </c>
    </row>
    <row r="2" spans="1:2" x14ac:dyDescent="0.35">
      <c r="A2">
        <v>2</v>
      </c>
      <c r="B2" t="s">
        <v>197</v>
      </c>
    </row>
    <row r="3" spans="1:2" x14ac:dyDescent="0.35">
      <c r="A3">
        <v>3</v>
      </c>
      <c r="B3" t="s">
        <v>196</v>
      </c>
    </row>
    <row r="4" spans="1:2" x14ac:dyDescent="0.35">
      <c r="A4">
        <v>4</v>
      </c>
      <c r="B4" t="s">
        <v>198</v>
      </c>
    </row>
    <row r="5" spans="1:2" x14ac:dyDescent="0.35">
      <c r="A5">
        <v>5</v>
      </c>
      <c r="B5" t="s">
        <v>199</v>
      </c>
    </row>
    <row r="6" spans="1:2" x14ac:dyDescent="0.35">
      <c r="A6">
        <v>6</v>
      </c>
      <c r="B6" t="s">
        <v>200</v>
      </c>
    </row>
    <row r="7" spans="1:2" x14ac:dyDescent="0.35">
      <c r="A7">
        <v>7</v>
      </c>
      <c r="B7" t="s">
        <v>201</v>
      </c>
    </row>
    <row r="8" spans="1:2" x14ac:dyDescent="0.35">
      <c r="A8">
        <v>8</v>
      </c>
      <c r="B8" t="s">
        <v>202</v>
      </c>
    </row>
    <row r="9" spans="1:2" x14ac:dyDescent="0.35">
      <c r="A9">
        <v>9</v>
      </c>
      <c r="B9" t="s">
        <v>203</v>
      </c>
    </row>
    <row r="10" spans="1:2" x14ac:dyDescent="0.35">
      <c r="A10">
        <v>10</v>
      </c>
      <c r="B10" t="s">
        <v>204</v>
      </c>
    </row>
    <row r="11" spans="1:2" x14ac:dyDescent="0.35">
      <c r="A11">
        <v>11</v>
      </c>
      <c r="B11" t="s">
        <v>205</v>
      </c>
    </row>
    <row r="12" spans="1:2" x14ac:dyDescent="0.35">
      <c r="A12">
        <v>12</v>
      </c>
      <c r="B12" t="s">
        <v>206</v>
      </c>
    </row>
    <row r="13" spans="1:2" x14ac:dyDescent="0.35">
      <c r="A13">
        <v>13</v>
      </c>
      <c r="B13" t="s">
        <v>207</v>
      </c>
    </row>
    <row r="14" spans="1:2" x14ac:dyDescent="0.35">
      <c r="A14">
        <v>14</v>
      </c>
      <c r="B14" t="s">
        <v>208</v>
      </c>
    </row>
    <row r="15" spans="1:2" x14ac:dyDescent="0.35">
      <c r="A15">
        <v>15</v>
      </c>
      <c r="B15" t="s">
        <v>209</v>
      </c>
    </row>
    <row r="16" spans="1:2" x14ac:dyDescent="0.35">
      <c r="A16">
        <v>16</v>
      </c>
      <c r="B16" t="s">
        <v>210</v>
      </c>
    </row>
    <row r="17" spans="1:2" x14ac:dyDescent="0.35">
      <c r="A17">
        <v>17</v>
      </c>
      <c r="B17" t="s">
        <v>211</v>
      </c>
    </row>
    <row r="18" spans="1:2" x14ac:dyDescent="0.35">
      <c r="A18">
        <v>18</v>
      </c>
      <c r="B18" t="s">
        <v>212</v>
      </c>
    </row>
    <row r="19" spans="1:2" x14ac:dyDescent="0.35">
      <c r="A19">
        <v>19</v>
      </c>
      <c r="B19" t="s">
        <v>213</v>
      </c>
    </row>
    <row r="20" spans="1:2" x14ac:dyDescent="0.35">
      <c r="A20">
        <v>20</v>
      </c>
      <c r="B20" t="s">
        <v>214</v>
      </c>
    </row>
    <row r="21" spans="1:2" x14ac:dyDescent="0.35">
      <c r="A21">
        <v>21</v>
      </c>
      <c r="B21" t="s">
        <v>215</v>
      </c>
    </row>
    <row r="22" spans="1:2" x14ac:dyDescent="0.35">
      <c r="A22">
        <v>22</v>
      </c>
      <c r="B22" t="s">
        <v>216</v>
      </c>
    </row>
    <row r="23" spans="1:2" x14ac:dyDescent="0.35">
      <c r="A23">
        <v>23</v>
      </c>
      <c r="B23" t="s">
        <v>217</v>
      </c>
    </row>
    <row r="24" spans="1:2" x14ac:dyDescent="0.35">
      <c r="A24">
        <v>24</v>
      </c>
      <c r="B24" t="s">
        <v>218</v>
      </c>
    </row>
    <row r="25" spans="1:2" x14ac:dyDescent="0.35">
      <c r="A25">
        <v>25</v>
      </c>
      <c r="B25" t="s">
        <v>219</v>
      </c>
    </row>
    <row r="26" spans="1:2" x14ac:dyDescent="0.35">
      <c r="A26">
        <v>26</v>
      </c>
      <c r="B26" t="s">
        <v>220</v>
      </c>
    </row>
    <row r="27" spans="1:2" x14ac:dyDescent="0.35">
      <c r="A27">
        <v>27</v>
      </c>
      <c r="B27" t="s">
        <v>221</v>
      </c>
    </row>
    <row r="28" spans="1:2" x14ac:dyDescent="0.35">
      <c r="A28">
        <v>28</v>
      </c>
      <c r="B28" t="s">
        <v>222</v>
      </c>
    </row>
    <row r="29" spans="1:2" x14ac:dyDescent="0.35">
      <c r="A29">
        <v>29</v>
      </c>
      <c r="B29" t="s">
        <v>223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283</v>
      </c>
      <c r="J1" t="s">
        <v>284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288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257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285</v>
      </c>
      <c r="Q13" t="s">
        <v>286</v>
      </c>
      <c r="U13" t="s">
        <v>287</v>
      </c>
    </row>
    <row r="15" spans="1:24" x14ac:dyDescent="0.35">
      <c r="A15" t="s">
        <v>276</v>
      </c>
    </row>
    <row r="16" spans="1:24" x14ac:dyDescent="0.35">
      <c r="A16" t="s">
        <v>277</v>
      </c>
    </row>
    <row r="18" spans="1:1" x14ac:dyDescent="0.35">
      <c r="A18" t="s">
        <v>278</v>
      </c>
    </row>
    <row r="19" spans="1:1" x14ac:dyDescent="0.35">
      <c r="A19" t="s">
        <v>279</v>
      </c>
    </row>
    <row r="20" spans="1:1" x14ac:dyDescent="0.35">
      <c r="A20" t="s">
        <v>280</v>
      </c>
    </row>
    <row r="21" spans="1:1" x14ac:dyDescent="0.35">
      <c r="A21" t="s">
        <v>281</v>
      </c>
    </row>
    <row r="24" spans="1:1" x14ac:dyDescent="0.35">
      <c r="A24" t="s">
        <v>282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258</v>
      </c>
      <c r="B4" t="s">
        <v>258</v>
      </c>
      <c r="E4" t="s">
        <v>258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259</v>
      </c>
      <c r="B10" t="s">
        <v>259</v>
      </c>
      <c r="E10" t="s">
        <v>259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289</v>
      </c>
    </row>
    <row r="14" spans="1:6" x14ac:dyDescent="0.35">
      <c r="E14" t="s">
        <v>290</v>
      </c>
    </row>
    <row r="15" spans="1:6" x14ac:dyDescent="0.35">
      <c r="E15" t="s">
        <v>291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296</v>
      </c>
      <c r="C11" t="s">
        <v>297</v>
      </c>
      <c r="D11" t="s">
        <v>298</v>
      </c>
      <c r="E11" t="s">
        <v>299</v>
      </c>
    </row>
    <row r="12" spans="1:10" x14ac:dyDescent="0.35">
      <c r="A12" t="s">
        <v>292</v>
      </c>
      <c r="B12" t="s">
        <v>295</v>
      </c>
      <c r="H12" t="s">
        <v>300</v>
      </c>
      <c r="I12" t="s">
        <v>301</v>
      </c>
    </row>
    <row r="13" spans="1:10" x14ac:dyDescent="0.35">
      <c r="A13">
        <f ca="1">RAND()</f>
        <v>0.86713801203491814</v>
      </c>
      <c r="I13" t="s">
        <v>302</v>
      </c>
    </row>
    <row r="15" spans="1:10" x14ac:dyDescent="0.35">
      <c r="A15" t="s">
        <v>293</v>
      </c>
    </row>
    <row r="16" spans="1:10" x14ac:dyDescent="0.35">
      <c r="A16" s="12" t="s">
        <v>294</v>
      </c>
      <c r="B16" s="12"/>
      <c r="C16" s="12"/>
      <c r="D16" s="12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260</v>
      </c>
      <c r="K1" t="s">
        <v>56</v>
      </c>
      <c r="L1" t="s">
        <v>79</v>
      </c>
      <c r="N1" t="s">
        <v>56</v>
      </c>
      <c r="O1" t="s">
        <v>261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167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303</v>
      </c>
      <c r="C13" t="s">
        <v>304</v>
      </c>
      <c r="D13" t="s">
        <v>305</v>
      </c>
      <c r="E13" t="s">
        <v>306</v>
      </c>
    </row>
    <row r="14" spans="1:25" x14ac:dyDescent="0.35">
      <c r="B14" t="s">
        <v>307</v>
      </c>
      <c r="C14" t="s">
        <v>308</v>
      </c>
      <c r="D14" t="s">
        <v>309</v>
      </c>
      <c r="I14" t="s">
        <v>310</v>
      </c>
      <c r="J14" t="s">
        <v>311</v>
      </c>
      <c r="L14" t="s">
        <v>312</v>
      </c>
      <c r="O14" t="s">
        <v>313</v>
      </c>
      <c r="R14" t="s">
        <v>314</v>
      </c>
      <c r="S14" t="s">
        <v>315</v>
      </c>
      <c r="V14" t="s">
        <v>316</v>
      </c>
      <c r="Y14" t="s">
        <v>317</v>
      </c>
    </row>
    <row r="15" spans="1:25" x14ac:dyDescent="0.35">
      <c r="R15" t="s">
        <v>318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M35"/>
  <sheetViews>
    <sheetView tabSelected="1" topLeftCell="E1" zoomScale="98" zoomScaleNormal="98" workbookViewId="0">
      <selection activeCell="L31" sqref="L31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3" x14ac:dyDescent="0.35">
      <c r="A1" s="1" t="s">
        <v>90</v>
      </c>
      <c r="B1" s="1" t="s">
        <v>0</v>
      </c>
      <c r="C1" s="1" t="s">
        <v>91</v>
      </c>
      <c r="D1" s="1" t="s">
        <v>92</v>
      </c>
      <c r="E1" s="1" t="s">
        <v>55</v>
      </c>
      <c r="F1" s="1" t="s">
        <v>93</v>
      </c>
      <c r="G1" s="2" t="s">
        <v>94</v>
      </c>
      <c r="H1" s="1" t="s">
        <v>274</v>
      </c>
    </row>
    <row r="2" spans="1:13" x14ac:dyDescent="0.35">
      <c r="A2">
        <v>1</v>
      </c>
      <c r="B2" t="s">
        <v>1</v>
      </c>
      <c r="C2" t="s">
        <v>95</v>
      </c>
      <c r="D2" t="s">
        <v>96</v>
      </c>
      <c r="E2" t="s">
        <v>97</v>
      </c>
      <c r="F2" t="s">
        <v>98</v>
      </c>
      <c r="G2" s="3">
        <v>10000</v>
      </c>
      <c r="H2">
        <f>RANK(G2,$G$2:$G$21,)</f>
        <v>8</v>
      </c>
    </row>
    <row r="3" spans="1:13" x14ac:dyDescent="0.35">
      <c r="A3">
        <v>2</v>
      </c>
      <c r="B3" t="s">
        <v>2</v>
      </c>
      <c r="C3" t="s">
        <v>99</v>
      </c>
      <c r="D3" t="s">
        <v>100</v>
      </c>
      <c r="E3" t="s">
        <v>101</v>
      </c>
      <c r="F3" t="s">
        <v>102</v>
      </c>
      <c r="G3" s="3">
        <v>12000</v>
      </c>
      <c r="H3">
        <f t="shared" ref="H3:H21" si="0">RANK(G3,$G$2:$G$21,)</f>
        <v>3</v>
      </c>
      <c r="I3" t="s">
        <v>262</v>
      </c>
      <c r="J3" s="3">
        <f>SUM(G2:G21)</f>
        <v>184600</v>
      </c>
      <c r="K3" s="3"/>
    </row>
    <row r="4" spans="1:13" x14ac:dyDescent="0.35">
      <c r="A4">
        <v>3</v>
      </c>
      <c r="B4" t="s">
        <v>3</v>
      </c>
      <c r="C4" t="s">
        <v>103</v>
      </c>
      <c r="E4" t="s">
        <v>101</v>
      </c>
      <c r="F4" t="s">
        <v>105</v>
      </c>
      <c r="G4" s="3">
        <v>11250</v>
      </c>
      <c r="H4">
        <f t="shared" si="0"/>
        <v>5</v>
      </c>
      <c r="I4" t="s">
        <v>263</v>
      </c>
      <c r="J4" s="3">
        <f>AVERAGE(G2:G21)</f>
        <v>9230</v>
      </c>
      <c r="K4" s="3"/>
    </row>
    <row r="5" spans="1:13" x14ac:dyDescent="0.35">
      <c r="A5">
        <v>4</v>
      </c>
      <c r="B5" t="s">
        <v>4</v>
      </c>
      <c r="C5" t="s">
        <v>106</v>
      </c>
      <c r="D5" t="s">
        <v>107</v>
      </c>
      <c r="E5" t="s">
        <v>108</v>
      </c>
      <c r="F5" t="s">
        <v>109</v>
      </c>
      <c r="G5" s="3">
        <v>12000</v>
      </c>
      <c r="H5">
        <f t="shared" si="0"/>
        <v>3</v>
      </c>
      <c r="I5" t="s">
        <v>264</v>
      </c>
      <c r="J5" s="3">
        <f>MAX(G2:G21)</f>
        <v>16250</v>
      </c>
      <c r="K5" s="3"/>
    </row>
    <row r="6" spans="1:13" x14ac:dyDescent="0.35">
      <c r="A6">
        <v>5</v>
      </c>
      <c r="B6" t="s">
        <v>5</v>
      </c>
      <c r="D6" t="s">
        <v>100</v>
      </c>
      <c r="E6" t="s">
        <v>101</v>
      </c>
      <c r="F6" t="s">
        <v>98</v>
      </c>
      <c r="G6" s="3">
        <v>16250</v>
      </c>
      <c r="H6">
        <f t="shared" si="0"/>
        <v>1</v>
      </c>
      <c r="I6" t="s">
        <v>265</v>
      </c>
      <c r="J6" s="3">
        <f>MIN(G2:G21)</f>
        <v>4500</v>
      </c>
      <c r="K6" s="3"/>
    </row>
    <row r="7" spans="1:13" x14ac:dyDescent="0.35">
      <c r="A7">
        <v>6</v>
      </c>
      <c r="B7" t="s">
        <v>6</v>
      </c>
      <c r="C7" t="s">
        <v>110</v>
      </c>
      <c r="D7" t="s">
        <v>111</v>
      </c>
      <c r="E7" t="s">
        <v>112</v>
      </c>
      <c r="F7" t="s">
        <v>102</v>
      </c>
      <c r="G7" s="3">
        <v>6400</v>
      </c>
      <c r="H7">
        <f t="shared" si="0"/>
        <v>13</v>
      </c>
      <c r="I7" t="s">
        <v>266</v>
      </c>
      <c r="J7">
        <f>COUNT(G2:G21)</f>
        <v>20</v>
      </c>
    </row>
    <row r="8" spans="1:13" x14ac:dyDescent="0.35">
      <c r="A8">
        <v>7</v>
      </c>
      <c r="B8" t="s">
        <v>7</v>
      </c>
      <c r="C8" t="s">
        <v>113</v>
      </c>
      <c r="D8" t="s">
        <v>114</v>
      </c>
      <c r="E8" t="s">
        <v>112</v>
      </c>
      <c r="F8" t="s">
        <v>105</v>
      </c>
      <c r="G8" s="3">
        <v>4500</v>
      </c>
      <c r="H8">
        <f t="shared" si="0"/>
        <v>19</v>
      </c>
      <c r="I8" t="s">
        <v>267</v>
      </c>
      <c r="J8">
        <f>COUNTA(D2:D21)</f>
        <v>19</v>
      </c>
      <c r="L8" t="s">
        <v>141</v>
      </c>
      <c r="M8">
        <f>SUMIFS(G2:G21,F2:F21,F2,E2:E21,E20)</f>
        <v>16250</v>
      </c>
    </row>
    <row r="9" spans="1:13" x14ac:dyDescent="0.35">
      <c r="A9">
        <v>8</v>
      </c>
      <c r="B9" t="s">
        <v>8</v>
      </c>
      <c r="C9" t="s">
        <v>115</v>
      </c>
      <c r="D9" t="s">
        <v>114</v>
      </c>
      <c r="E9" t="s">
        <v>112</v>
      </c>
      <c r="F9" t="s">
        <v>109</v>
      </c>
      <c r="G9" s="3">
        <v>6275</v>
      </c>
      <c r="H9">
        <f t="shared" si="0"/>
        <v>15</v>
      </c>
      <c r="I9" t="s">
        <v>268</v>
      </c>
      <c r="J9">
        <f>COUNTBLANK(C2:C21)</f>
        <v>3</v>
      </c>
      <c r="L9" t="s">
        <v>142</v>
      </c>
      <c r="M9">
        <f>AVERAGEIFS(G2:G21,F2:F21,F21,E2:E21,E2)</f>
        <v>8125</v>
      </c>
    </row>
    <row r="10" spans="1:13" x14ac:dyDescent="0.35">
      <c r="A10">
        <v>9</v>
      </c>
      <c r="B10" t="s">
        <v>9</v>
      </c>
      <c r="C10" t="s">
        <v>116</v>
      </c>
      <c r="D10" t="s">
        <v>96</v>
      </c>
      <c r="E10" t="s">
        <v>97</v>
      </c>
      <c r="F10" t="s">
        <v>98</v>
      </c>
      <c r="G10" s="3">
        <v>6250</v>
      </c>
      <c r="H10">
        <f t="shared" si="0"/>
        <v>17</v>
      </c>
      <c r="I10" t="s">
        <v>269</v>
      </c>
      <c r="L10" t="s">
        <v>143</v>
      </c>
      <c r="M10">
        <f>COUNTIFS(F2:F21,F2,E2:E21,E20)</f>
        <v>2</v>
      </c>
    </row>
    <row r="11" spans="1:13" x14ac:dyDescent="0.35">
      <c r="A11">
        <v>10</v>
      </c>
      <c r="B11" t="s">
        <v>10</v>
      </c>
      <c r="D11" t="s">
        <v>117</v>
      </c>
      <c r="E11" t="s">
        <v>108</v>
      </c>
      <c r="F11" t="s">
        <v>102</v>
      </c>
      <c r="G11" s="3">
        <v>8750</v>
      </c>
      <c r="H11">
        <f t="shared" si="0"/>
        <v>11</v>
      </c>
      <c r="I11" t="s">
        <v>269</v>
      </c>
    </row>
    <row r="12" spans="1:13" x14ac:dyDescent="0.35">
      <c r="A12">
        <v>11</v>
      </c>
      <c r="B12" t="s">
        <v>118</v>
      </c>
      <c r="C12" t="s">
        <v>119</v>
      </c>
      <c r="D12" t="s">
        <v>117</v>
      </c>
      <c r="E12" t="s">
        <v>108</v>
      </c>
      <c r="F12" t="s">
        <v>105</v>
      </c>
      <c r="G12" s="3">
        <v>11250</v>
      </c>
      <c r="H12">
        <f t="shared" si="0"/>
        <v>5</v>
      </c>
      <c r="I12" t="s">
        <v>269</v>
      </c>
    </row>
    <row r="13" spans="1:13" x14ac:dyDescent="0.35">
      <c r="A13">
        <v>12</v>
      </c>
      <c r="B13" t="s">
        <v>120</v>
      </c>
      <c r="C13" t="s">
        <v>121</v>
      </c>
      <c r="D13" t="s">
        <v>122</v>
      </c>
      <c r="E13" t="s">
        <v>108</v>
      </c>
      <c r="F13" t="s">
        <v>109</v>
      </c>
      <c r="G13" s="3">
        <v>10000</v>
      </c>
      <c r="H13">
        <f t="shared" si="0"/>
        <v>8</v>
      </c>
      <c r="I13" t="s">
        <v>270</v>
      </c>
    </row>
    <row r="14" spans="1:13" x14ac:dyDescent="0.35">
      <c r="A14">
        <v>13</v>
      </c>
      <c r="B14" t="s">
        <v>123</v>
      </c>
      <c r="C14" t="s">
        <v>99</v>
      </c>
      <c r="D14" t="s">
        <v>124</v>
      </c>
      <c r="E14" t="s">
        <v>108</v>
      </c>
      <c r="F14" t="s">
        <v>98</v>
      </c>
      <c r="G14" s="3">
        <v>16250</v>
      </c>
      <c r="H14">
        <f t="shared" si="0"/>
        <v>1</v>
      </c>
      <c r="I14" t="s">
        <v>271</v>
      </c>
    </row>
    <row r="15" spans="1:13" x14ac:dyDescent="0.35">
      <c r="A15">
        <v>14</v>
      </c>
      <c r="B15" t="s">
        <v>125</v>
      </c>
      <c r="C15" t="s">
        <v>103</v>
      </c>
      <c r="D15" t="s">
        <v>122</v>
      </c>
      <c r="E15" t="s">
        <v>108</v>
      </c>
      <c r="F15" t="s">
        <v>102</v>
      </c>
      <c r="G15" s="3">
        <v>6400</v>
      </c>
      <c r="H15">
        <f t="shared" si="0"/>
        <v>13</v>
      </c>
      <c r="I15" t="s">
        <v>269</v>
      </c>
      <c r="L15" t="s">
        <v>139</v>
      </c>
    </row>
    <row r="16" spans="1:13" x14ac:dyDescent="0.35">
      <c r="A16">
        <v>15</v>
      </c>
      <c r="B16" t="s">
        <v>126</v>
      </c>
      <c r="C16" t="s">
        <v>127</v>
      </c>
      <c r="D16" t="s">
        <v>100</v>
      </c>
      <c r="E16" t="s">
        <v>101</v>
      </c>
      <c r="F16" t="s">
        <v>105</v>
      </c>
      <c r="G16" s="3">
        <v>4500</v>
      </c>
      <c r="H16">
        <f t="shared" si="0"/>
        <v>19</v>
      </c>
      <c r="I16" t="s">
        <v>272</v>
      </c>
      <c r="L16" t="s">
        <v>275</v>
      </c>
    </row>
    <row r="17" spans="1:12" x14ac:dyDescent="0.35">
      <c r="A17">
        <v>16</v>
      </c>
      <c r="B17" t="s">
        <v>128</v>
      </c>
      <c r="D17" t="s">
        <v>122</v>
      </c>
      <c r="E17" t="s">
        <v>108</v>
      </c>
      <c r="F17" t="s">
        <v>109</v>
      </c>
      <c r="G17" s="3">
        <v>6275</v>
      </c>
      <c r="H17">
        <f t="shared" si="0"/>
        <v>15</v>
      </c>
      <c r="I17" t="s">
        <v>273</v>
      </c>
      <c r="L17" t="s">
        <v>140</v>
      </c>
    </row>
    <row r="18" spans="1:12" x14ac:dyDescent="0.35">
      <c r="A18">
        <v>17</v>
      </c>
      <c r="B18" t="s">
        <v>129</v>
      </c>
      <c r="C18" t="s">
        <v>130</v>
      </c>
      <c r="D18" t="s">
        <v>96</v>
      </c>
      <c r="E18" t="s">
        <v>97</v>
      </c>
      <c r="F18" t="s">
        <v>131</v>
      </c>
      <c r="G18" s="3">
        <v>6250</v>
      </c>
      <c r="H18">
        <f t="shared" si="0"/>
        <v>17</v>
      </c>
    </row>
    <row r="19" spans="1:12" x14ac:dyDescent="0.35">
      <c r="A19">
        <v>18</v>
      </c>
      <c r="B19" t="s">
        <v>132</v>
      </c>
      <c r="C19" t="s">
        <v>133</v>
      </c>
      <c r="D19" t="s">
        <v>96</v>
      </c>
      <c r="E19" t="s">
        <v>97</v>
      </c>
      <c r="F19" t="s">
        <v>109</v>
      </c>
      <c r="G19" s="3">
        <v>8750</v>
      </c>
      <c r="H19">
        <f t="shared" si="0"/>
        <v>11</v>
      </c>
    </row>
    <row r="20" spans="1:12" x14ac:dyDescent="0.35">
      <c r="A20">
        <v>19</v>
      </c>
      <c r="B20" t="s">
        <v>134</v>
      </c>
      <c r="C20" t="s">
        <v>135</v>
      </c>
      <c r="D20" t="s">
        <v>136</v>
      </c>
      <c r="E20" t="s">
        <v>97</v>
      </c>
      <c r="F20" t="s">
        <v>131</v>
      </c>
      <c r="G20" s="3">
        <v>11250</v>
      </c>
      <c r="H20">
        <f t="shared" si="0"/>
        <v>5</v>
      </c>
    </row>
    <row r="21" spans="1:12" x14ac:dyDescent="0.35">
      <c r="A21">
        <v>20</v>
      </c>
      <c r="B21" t="s">
        <v>137</v>
      </c>
      <c r="C21" t="s">
        <v>138</v>
      </c>
      <c r="D21" t="s">
        <v>104</v>
      </c>
      <c r="E21" t="s">
        <v>101</v>
      </c>
      <c r="F21" t="s">
        <v>98</v>
      </c>
      <c r="G21" s="3">
        <v>10000</v>
      </c>
      <c r="H21">
        <f t="shared" si="0"/>
        <v>8</v>
      </c>
    </row>
    <row r="24" spans="1:12" x14ac:dyDescent="0.35">
      <c r="H24" t="s">
        <v>319</v>
      </c>
    </row>
    <row r="28" spans="1:12" x14ac:dyDescent="0.35">
      <c r="J28" t="s">
        <v>320</v>
      </c>
      <c r="K28" t="s">
        <v>321</v>
      </c>
      <c r="L28" t="s">
        <v>322</v>
      </c>
    </row>
    <row r="29" spans="1:12" x14ac:dyDescent="0.35">
      <c r="H29">
        <v>3</v>
      </c>
      <c r="I29">
        <f>RANK(H29,$H$29:$H$35,)</f>
        <v>4</v>
      </c>
    </row>
    <row r="30" spans="1:12" x14ac:dyDescent="0.35">
      <c r="H30">
        <v>5</v>
      </c>
      <c r="I30">
        <f t="shared" ref="I30:I35" si="1">RANK(H30,$H$29:$H$35,)</f>
        <v>3</v>
      </c>
    </row>
    <row r="31" spans="1:12" x14ac:dyDescent="0.35">
      <c r="H31">
        <v>3</v>
      </c>
      <c r="I31">
        <f t="shared" si="1"/>
        <v>4</v>
      </c>
    </row>
    <row r="32" spans="1:12" x14ac:dyDescent="0.35">
      <c r="H32">
        <v>6</v>
      </c>
      <c r="I32">
        <f t="shared" si="1"/>
        <v>1</v>
      </c>
    </row>
    <row r="33" spans="8:9" x14ac:dyDescent="0.35">
      <c r="H33">
        <v>1</v>
      </c>
      <c r="I33">
        <f t="shared" si="1"/>
        <v>7</v>
      </c>
    </row>
    <row r="34" spans="8:9" x14ac:dyDescent="0.35">
      <c r="H34">
        <v>2</v>
      </c>
      <c r="I34">
        <f t="shared" si="1"/>
        <v>6</v>
      </c>
    </row>
    <row r="35" spans="8:9" x14ac:dyDescent="0.35">
      <c r="H35">
        <v>6</v>
      </c>
      <c r="I35">
        <f t="shared" si="1"/>
        <v>1</v>
      </c>
    </row>
  </sheetData>
  <dataValidations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1"/>
  <sheetViews>
    <sheetView zoomScale="130" zoomScaleNormal="130" workbookViewId="0">
      <selection activeCell="G14" sqref="G14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144</v>
      </c>
    </row>
    <row r="2" spans="1:10" x14ac:dyDescent="0.35">
      <c r="J2" s="4">
        <v>0.1</v>
      </c>
    </row>
    <row r="3" spans="1:10" x14ac:dyDescent="0.35">
      <c r="B3" s="12" t="s">
        <v>145</v>
      </c>
      <c r="C3" s="12"/>
      <c r="D3" s="12"/>
      <c r="F3" s="12" t="s">
        <v>146</v>
      </c>
      <c r="G3" s="12"/>
      <c r="H3" s="12"/>
      <c r="I3" s="12"/>
    </row>
    <row r="4" spans="1:10" x14ac:dyDescent="0.35">
      <c r="A4" t="s">
        <v>147</v>
      </c>
      <c r="B4" t="s">
        <v>148</v>
      </c>
      <c r="C4" t="s">
        <v>149</v>
      </c>
      <c r="D4" t="s">
        <v>150</v>
      </c>
      <c r="F4" t="s">
        <v>151</v>
      </c>
      <c r="G4" t="s">
        <v>152</v>
      </c>
      <c r="H4" t="s">
        <v>153</v>
      </c>
    </row>
    <row r="5" spans="1:10" x14ac:dyDescent="0.35">
      <c r="A5" t="s">
        <v>154</v>
      </c>
      <c r="B5">
        <v>23</v>
      </c>
      <c r="C5">
        <v>6.7</v>
      </c>
      <c r="F5" t="s">
        <v>155</v>
      </c>
      <c r="G5">
        <v>8900</v>
      </c>
    </row>
    <row r="6" spans="1:10" x14ac:dyDescent="0.35">
      <c r="A6" t="s">
        <v>156</v>
      </c>
      <c r="B6">
        <v>443</v>
      </c>
      <c r="C6">
        <v>4.5</v>
      </c>
      <c r="E6" s="5"/>
      <c r="F6" t="s">
        <v>157</v>
      </c>
      <c r="G6">
        <v>45000</v>
      </c>
    </row>
    <row r="7" spans="1:10" x14ac:dyDescent="0.35">
      <c r="A7" t="s">
        <v>158</v>
      </c>
      <c r="B7">
        <v>454</v>
      </c>
      <c r="C7">
        <v>6.7</v>
      </c>
      <c r="F7" t="s">
        <v>159</v>
      </c>
      <c r="G7">
        <v>34005</v>
      </c>
    </row>
    <row r="8" spans="1:10" x14ac:dyDescent="0.35">
      <c r="A8" t="s">
        <v>160</v>
      </c>
      <c r="B8">
        <v>65</v>
      </c>
      <c r="C8">
        <v>8.1999999999999993</v>
      </c>
      <c r="F8" t="s">
        <v>161</v>
      </c>
      <c r="G8">
        <v>23900</v>
      </c>
    </row>
    <row r="9" spans="1:10" x14ac:dyDescent="0.35">
      <c r="A9" t="s">
        <v>162</v>
      </c>
      <c r="B9">
        <v>34</v>
      </c>
      <c r="C9">
        <v>5.5</v>
      </c>
      <c r="E9" s="5"/>
      <c r="F9" t="s">
        <v>163</v>
      </c>
      <c r="G9">
        <v>32000</v>
      </c>
    </row>
    <row r="10" spans="1:10" x14ac:dyDescent="0.35">
      <c r="A10" t="s">
        <v>164</v>
      </c>
      <c r="B10">
        <v>45</v>
      </c>
      <c r="C10">
        <v>3.8</v>
      </c>
      <c r="F10" t="s">
        <v>165</v>
      </c>
      <c r="G10">
        <v>12000</v>
      </c>
    </row>
    <row r="11" spans="1:10" x14ac:dyDescent="0.35">
      <c r="A11" t="s">
        <v>166</v>
      </c>
      <c r="B11">
        <v>32</v>
      </c>
      <c r="C11">
        <v>7.4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J10"/>
  <sheetViews>
    <sheetView zoomScale="180" zoomScaleNormal="180" workbookViewId="0">
      <selection activeCell="H9" sqref="H9"/>
    </sheetView>
  </sheetViews>
  <sheetFormatPr defaultRowHeight="14.5" x14ac:dyDescent="0.35"/>
  <sheetData>
    <row r="1" spans="1:10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0" x14ac:dyDescent="0.35">
      <c r="A2">
        <v>2</v>
      </c>
    </row>
    <row r="3" spans="1:10" x14ac:dyDescent="0.35">
      <c r="A3">
        <v>3</v>
      </c>
    </row>
    <row r="4" spans="1:10" x14ac:dyDescent="0.35">
      <c r="A4">
        <v>4</v>
      </c>
    </row>
    <row r="5" spans="1:10" x14ac:dyDescent="0.35">
      <c r="A5">
        <v>5</v>
      </c>
    </row>
    <row r="6" spans="1:10" x14ac:dyDescent="0.35">
      <c r="A6">
        <v>6</v>
      </c>
    </row>
    <row r="7" spans="1:10" x14ac:dyDescent="0.35">
      <c r="A7">
        <v>7</v>
      </c>
    </row>
    <row r="8" spans="1:10" x14ac:dyDescent="0.35">
      <c r="A8">
        <v>8</v>
      </c>
    </row>
    <row r="9" spans="1:10" x14ac:dyDescent="0.35">
      <c r="A9">
        <v>9</v>
      </c>
    </row>
    <row r="10" spans="1:10" x14ac:dyDescent="0.35">
      <c r="A10">
        <v>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E14"/>
  <sheetViews>
    <sheetView zoomScale="170" zoomScaleNormal="170" workbookViewId="0">
      <selection activeCell="D7" sqref="D7"/>
    </sheetView>
  </sheetViews>
  <sheetFormatPr defaultRowHeight="14.5" x14ac:dyDescent="0.35"/>
  <cols>
    <col min="1" max="1" width="14.81640625" bestFit="1" customWidth="1"/>
    <col min="2" max="2" width="10.6328125" bestFit="1" customWidth="1"/>
  </cols>
  <sheetData>
    <row r="1" spans="1:5" x14ac:dyDescent="0.35">
      <c r="A1" s="1" t="s">
        <v>0</v>
      </c>
      <c r="B1" t="s">
        <v>94</v>
      </c>
    </row>
    <row r="2" spans="1:5" x14ac:dyDescent="0.35">
      <c r="A2" t="s">
        <v>2</v>
      </c>
      <c r="B2">
        <v>10000</v>
      </c>
    </row>
    <row r="3" spans="1:5" x14ac:dyDescent="0.35">
      <c r="A3" t="s">
        <v>132</v>
      </c>
      <c r="B3">
        <v>12000</v>
      </c>
      <c r="E3" t="s">
        <v>168</v>
      </c>
    </row>
    <row r="4" spans="1:5" x14ac:dyDescent="0.35">
      <c r="A4" t="s">
        <v>123</v>
      </c>
      <c r="B4">
        <v>11250</v>
      </c>
      <c r="E4" t="s">
        <v>169</v>
      </c>
    </row>
    <row r="5" spans="1:5" x14ac:dyDescent="0.35">
      <c r="A5" t="s">
        <v>9</v>
      </c>
      <c r="B5">
        <v>12000</v>
      </c>
      <c r="E5" t="s">
        <v>170</v>
      </c>
    </row>
    <row r="6" spans="1:5" x14ac:dyDescent="0.35">
      <c r="A6" t="s">
        <v>10</v>
      </c>
      <c r="B6">
        <v>16250</v>
      </c>
      <c r="E6" t="s">
        <v>171</v>
      </c>
    </row>
    <row r="7" spans="1:5" x14ac:dyDescent="0.35">
      <c r="A7" t="s">
        <v>125</v>
      </c>
      <c r="B7">
        <v>6400</v>
      </c>
      <c r="E7" t="s">
        <v>172</v>
      </c>
    </row>
    <row r="8" spans="1:5" x14ac:dyDescent="0.35">
      <c r="A8" t="s">
        <v>6</v>
      </c>
      <c r="B8">
        <v>4500</v>
      </c>
    </row>
    <row r="9" spans="1:5" x14ac:dyDescent="0.35">
      <c r="A9" t="s">
        <v>1</v>
      </c>
      <c r="B9">
        <v>6275</v>
      </c>
    </row>
    <row r="10" spans="1:5" x14ac:dyDescent="0.35">
      <c r="A10" t="s">
        <v>137</v>
      </c>
      <c r="B10">
        <v>6250</v>
      </c>
    </row>
    <row r="11" spans="1:5" x14ac:dyDescent="0.35">
      <c r="A11" t="s">
        <v>8</v>
      </c>
      <c r="B11">
        <v>8750</v>
      </c>
    </row>
    <row r="12" spans="1:5" x14ac:dyDescent="0.35">
      <c r="A12" t="s">
        <v>7</v>
      </c>
      <c r="B12">
        <v>11250</v>
      </c>
    </row>
    <row r="13" spans="1:5" x14ac:dyDescent="0.35">
      <c r="A13" t="s">
        <v>126</v>
      </c>
      <c r="B13">
        <v>10000</v>
      </c>
    </row>
    <row r="14" spans="1:5" x14ac:dyDescent="0.35">
      <c r="A14" t="s">
        <v>3</v>
      </c>
      <c r="B14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F11"/>
  <sheetViews>
    <sheetView zoomScale="190" zoomScaleNormal="190" workbookViewId="0">
      <selection activeCell="C12" sqref="C12"/>
    </sheetView>
  </sheetViews>
  <sheetFormatPr defaultRowHeight="14.5" x14ac:dyDescent="0.35"/>
  <cols>
    <col min="1" max="1" width="11.81640625" bestFit="1" customWidth="1"/>
    <col min="2" max="3" width="15.81640625" bestFit="1" customWidth="1"/>
    <col min="5" max="5" width="9.36328125" bestFit="1" customWidth="1"/>
    <col min="6" max="7" width="10.453125" bestFit="1" customWidth="1"/>
  </cols>
  <sheetData>
    <row r="1" spans="1:6" x14ac:dyDescent="0.35">
      <c r="C1" t="s">
        <v>178</v>
      </c>
      <c r="D1" t="s">
        <v>180</v>
      </c>
      <c r="E1" t="s">
        <v>181</v>
      </c>
      <c r="F1" t="s">
        <v>182</v>
      </c>
    </row>
    <row r="2" spans="1:6" x14ac:dyDescent="0.35">
      <c r="A2" t="s">
        <v>179</v>
      </c>
      <c r="B2" t="s">
        <v>173</v>
      </c>
      <c r="C2" s="7">
        <v>0.61117256944271503</v>
      </c>
    </row>
    <row r="3" spans="1:6" x14ac:dyDescent="0.35">
      <c r="A3" t="s">
        <v>178</v>
      </c>
      <c r="B3" t="s">
        <v>174</v>
      </c>
    </row>
    <row r="4" spans="1:6" x14ac:dyDescent="0.35">
      <c r="A4" t="s">
        <v>175</v>
      </c>
      <c r="C4" s="5"/>
    </row>
    <row r="5" spans="1:6" x14ac:dyDescent="0.35">
      <c r="A5" t="s">
        <v>176</v>
      </c>
      <c r="C5" s="6"/>
    </row>
    <row r="6" spans="1:6" x14ac:dyDescent="0.35">
      <c r="A6" t="s">
        <v>177</v>
      </c>
      <c r="C6" t="s">
        <v>180</v>
      </c>
      <c r="D6" t="s">
        <v>181</v>
      </c>
      <c r="E6" t="s">
        <v>182</v>
      </c>
      <c r="F6" t="s">
        <v>178</v>
      </c>
    </row>
    <row r="7" spans="1:6" x14ac:dyDescent="0.35">
      <c r="C7">
        <v>14</v>
      </c>
      <c r="D7">
        <v>40</v>
      </c>
      <c r="E7">
        <v>5</v>
      </c>
      <c r="F7" s="8"/>
    </row>
    <row r="10" spans="1:6" x14ac:dyDescent="0.35">
      <c r="C10" t="s">
        <v>179</v>
      </c>
      <c r="D10" t="s">
        <v>193</v>
      </c>
      <c r="E10" t="s">
        <v>194</v>
      </c>
    </row>
    <row r="11" spans="1:6" x14ac:dyDescent="0.35">
      <c r="C11" s="5">
        <f ca="1">TODAY()</f>
        <v>46154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J1"/>
  <sheetViews>
    <sheetView zoomScale="150" zoomScaleNormal="150" workbookViewId="0">
      <selection activeCell="B13" sqref="B13"/>
    </sheetView>
  </sheetViews>
  <sheetFormatPr defaultRowHeight="14.5" x14ac:dyDescent="0.35"/>
  <cols>
    <col min="1" max="1" width="12.81640625" customWidth="1"/>
    <col min="2" max="2" width="20.08984375" customWidth="1"/>
    <col min="4" max="4" width="21.54296875" bestFit="1" customWidth="1"/>
    <col min="10" max="10" width="10.54296875" bestFit="1" customWidth="1"/>
  </cols>
  <sheetData>
    <row r="1" spans="1:10" x14ac:dyDescent="0.35">
      <c r="A1" t="s">
        <v>249</v>
      </c>
      <c r="B1" t="s">
        <v>255</v>
      </c>
      <c r="C1" t="s">
        <v>250</v>
      </c>
      <c r="D1" t="s">
        <v>256</v>
      </c>
      <c r="E1" t="s">
        <v>251</v>
      </c>
      <c r="F1" t="s">
        <v>252</v>
      </c>
      <c r="G1" t="s">
        <v>253</v>
      </c>
      <c r="H1" t="s">
        <v>193</v>
      </c>
      <c r="J1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170" zoomScaleNormal="170" workbookViewId="0">
      <selection activeCell="C4" sqref="C4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183</v>
      </c>
      <c r="B1" t="s">
        <v>184</v>
      </c>
      <c r="C1" t="s">
        <v>188</v>
      </c>
      <c r="D1" t="s">
        <v>185</v>
      </c>
      <c r="E1" t="s">
        <v>186</v>
      </c>
      <c r="F1" t="s">
        <v>187</v>
      </c>
      <c r="G1" t="s">
        <v>189</v>
      </c>
      <c r="H1" t="s">
        <v>192</v>
      </c>
    </row>
    <row r="2" spans="1:8" x14ac:dyDescent="0.35">
      <c r="A2">
        <v>34</v>
      </c>
    </row>
    <row r="3" spans="1:8" x14ac:dyDescent="0.35">
      <c r="A3">
        <v>54</v>
      </c>
    </row>
    <row r="4" spans="1:8" x14ac:dyDescent="0.35">
      <c r="A4">
        <v>33</v>
      </c>
    </row>
    <row r="5" spans="1:8" x14ac:dyDescent="0.35">
      <c r="A5">
        <v>55</v>
      </c>
    </row>
    <row r="6" spans="1:8" x14ac:dyDescent="0.35">
      <c r="A6" s="5">
        <f ca="1">TODAY()</f>
        <v>46154</v>
      </c>
    </row>
    <row r="7" spans="1:8" x14ac:dyDescent="0.35">
      <c r="A7" t="s">
        <v>190</v>
      </c>
    </row>
    <row r="8" spans="1:8" x14ac:dyDescent="0.35">
      <c r="A8">
        <v>23</v>
      </c>
    </row>
    <row r="9" spans="1:8" x14ac:dyDescent="0.35">
      <c r="A9" t="s">
        <v>191</v>
      </c>
    </row>
    <row r="10" spans="1:8" x14ac:dyDescent="0.35">
      <c r="A10" t="b">
        <v>1</v>
      </c>
    </row>
    <row r="11" spans="1:8" x14ac:dyDescent="0.35">
      <c r="A11">
        <v>89</v>
      </c>
    </row>
    <row r="12" spans="1:8" x14ac:dyDescent="0.35">
      <c r="A12">
        <v>23</v>
      </c>
    </row>
    <row r="13" spans="1:8" x14ac:dyDescent="0.35">
      <c r="A13" t="b">
        <v>0</v>
      </c>
    </row>
    <row r="14" spans="1:8" x14ac:dyDescent="0.35">
      <c r="A14">
        <v>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F12"/>
  <sheetViews>
    <sheetView zoomScale="200" zoomScaleNormal="200" workbookViewId="0">
      <selection activeCell="F1" sqref="F1"/>
    </sheetView>
  </sheetViews>
  <sheetFormatPr defaultRowHeight="14.5" x14ac:dyDescent="0.35"/>
  <cols>
    <col min="1" max="1" width="17.54296875" customWidth="1"/>
    <col min="5" max="5" width="13.36328125" bestFit="1" customWidth="1"/>
    <col min="6" max="6" width="16.08984375" bestFit="1" customWidth="1"/>
  </cols>
  <sheetData>
    <row r="1" spans="1:6" x14ac:dyDescent="0.35">
      <c r="A1" s="1" t="s">
        <v>183</v>
      </c>
      <c r="F1" s="1" t="s">
        <v>0</v>
      </c>
    </row>
    <row r="2" spans="1:6" x14ac:dyDescent="0.35">
      <c r="A2" t="s">
        <v>224</v>
      </c>
      <c r="F2" t="s">
        <v>1</v>
      </c>
    </row>
    <row r="3" spans="1:6" x14ac:dyDescent="0.35">
      <c r="A3" t="s">
        <v>231</v>
      </c>
      <c r="F3" t="s">
        <v>235</v>
      </c>
    </row>
    <row r="4" spans="1:6" x14ac:dyDescent="0.35">
      <c r="A4" t="s">
        <v>225</v>
      </c>
      <c r="F4" t="s">
        <v>242</v>
      </c>
    </row>
    <row r="5" spans="1:6" x14ac:dyDescent="0.35">
      <c r="A5" t="s">
        <v>226</v>
      </c>
      <c r="F5" t="s">
        <v>241</v>
      </c>
    </row>
    <row r="6" spans="1:6" x14ac:dyDescent="0.35">
      <c r="A6" t="s">
        <v>227</v>
      </c>
      <c r="F6" s="9" t="s">
        <v>244</v>
      </c>
    </row>
    <row r="7" spans="1:6" x14ac:dyDescent="0.35">
      <c r="A7" t="s">
        <v>228</v>
      </c>
      <c r="F7" t="s">
        <v>236</v>
      </c>
    </row>
    <row r="8" spans="1:6" x14ac:dyDescent="0.35">
      <c r="A8" t="s">
        <v>229</v>
      </c>
      <c r="F8" t="s">
        <v>237</v>
      </c>
    </row>
    <row r="9" spans="1:6" x14ac:dyDescent="0.35">
      <c r="A9" t="s">
        <v>230</v>
      </c>
      <c r="F9" t="s">
        <v>238</v>
      </c>
    </row>
    <row r="10" spans="1:6" x14ac:dyDescent="0.35">
      <c r="A10" t="s">
        <v>232</v>
      </c>
      <c r="F10" t="s">
        <v>239</v>
      </c>
    </row>
    <row r="11" spans="1:6" x14ac:dyDescent="0.35">
      <c r="A11" t="s">
        <v>233</v>
      </c>
      <c r="F11" t="s">
        <v>240</v>
      </c>
    </row>
    <row r="12" spans="1:6" x14ac:dyDescent="0.35">
      <c r="A12" t="s">
        <v>234</v>
      </c>
      <c r="F12" t="s">
        <v>243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D11" sqref="D11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245</v>
      </c>
      <c r="D1" s="1" t="s">
        <v>246</v>
      </c>
      <c r="E1" s="1" t="s">
        <v>247</v>
      </c>
      <c r="F1" s="1" t="s">
        <v>248</v>
      </c>
    </row>
    <row r="2" spans="1:6" x14ac:dyDescent="0.35">
      <c r="A2" t="s">
        <v>22</v>
      </c>
      <c r="B2" t="s">
        <v>23</v>
      </c>
      <c r="E2" s="11"/>
      <c r="F2" s="11"/>
    </row>
    <row r="3" spans="1:6" x14ac:dyDescent="0.35">
      <c r="A3" t="s">
        <v>24</v>
      </c>
      <c r="B3" t="s">
        <v>25</v>
      </c>
      <c r="E3" s="11"/>
      <c r="F3" s="11"/>
    </row>
    <row r="4" spans="1:6" x14ac:dyDescent="0.35">
      <c r="A4" t="s">
        <v>26</v>
      </c>
      <c r="B4" t="s">
        <v>27</v>
      </c>
      <c r="E4" s="11"/>
      <c r="F4" s="11"/>
    </row>
    <row r="5" spans="1:6" x14ac:dyDescent="0.35">
      <c r="A5" t="s">
        <v>28</v>
      </c>
      <c r="B5" t="s">
        <v>29</v>
      </c>
      <c r="E5" s="11"/>
      <c r="F5" s="11"/>
    </row>
    <row r="6" spans="1:6" x14ac:dyDescent="0.35">
      <c r="A6" t="s">
        <v>30</v>
      </c>
      <c r="B6" t="s">
        <v>31</v>
      </c>
      <c r="E6" s="11"/>
      <c r="F6" s="11"/>
    </row>
    <row r="7" spans="1:6" x14ac:dyDescent="0.35">
      <c r="A7" t="s">
        <v>32</v>
      </c>
      <c r="B7" t="s">
        <v>33</v>
      </c>
      <c r="E7" s="11"/>
      <c r="F7" s="11"/>
    </row>
    <row r="8" spans="1:6" x14ac:dyDescent="0.35">
      <c r="A8" t="s">
        <v>34</v>
      </c>
      <c r="B8" t="s">
        <v>35</v>
      </c>
      <c r="E8" s="11"/>
      <c r="F8" s="11"/>
    </row>
    <row r="9" spans="1:6" x14ac:dyDescent="0.35">
      <c r="A9" t="s">
        <v>36</v>
      </c>
      <c r="B9" t="s">
        <v>37</v>
      </c>
      <c r="E9" s="11"/>
      <c r="F9" s="11"/>
    </row>
    <row r="10" spans="1:6" x14ac:dyDescent="0.35">
      <c r="A10" t="s">
        <v>38</v>
      </c>
      <c r="B10" t="s">
        <v>39</v>
      </c>
      <c r="E10" s="11"/>
      <c r="F10" s="11"/>
    </row>
    <row r="11" spans="1:6" x14ac:dyDescent="0.35">
      <c r="A11" t="s">
        <v>38</v>
      </c>
      <c r="B11" t="s">
        <v>40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2026-05-12T05:48:15Z</dcterms:modified>
</cp:coreProperties>
</file>