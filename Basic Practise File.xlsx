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DA7CA01B-DADB-495A-974D-81796C51211E}" xr6:coauthVersionLast="47" xr6:coauthVersionMax="47" xr10:uidLastSave="{00000000-0000-0000-0000-000000000000}"/>
  <bookViews>
    <workbookView xWindow="-110" yWindow="-110" windowWidth="19420" windowHeight="11020" tabRatio="955" firstSheet="6" activeTab="13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definedNames>
    <definedName name="salary">'Naming Range'!$B$2:$B$14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6" l="1"/>
  <c r="G2" i="16"/>
  <c r="C4" i="16"/>
  <c r="C5" i="16"/>
  <c r="C6" i="16"/>
  <c r="C7" i="16"/>
  <c r="C8" i="16"/>
  <c r="C9" i="16"/>
  <c r="C10" i="16"/>
  <c r="C11" i="16"/>
  <c r="C3" i="16"/>
  <c r="G3" i="12"/>
  <c r="G4" i="12"/>
  <c r="G5" i="12"/>
  <c r="G6" i="12"/>
  <c r="G7" i="12"/>
  <c r="G8" i="12"/>
  <c r="G9" i="12"/>
  <c r="G10" i="12"/>
  <c r="G11" i="12"/>
  <c r="G12" i="12"/>
  <c r="G13" i="12"/>
  <c r="G14" i="12"/>
  <c r="G2" i="12"/>
  <c r="H3" i="12"/>
  <c r="H4" i="12"/>
  <c r="H5" i="12"/>
  <c r="H7" i="12"/>
  <c r="H8" i="12"/>
  <c r="H9" i="12"/>
  <c r="H10" i="12"/>
  <c r="H11" i="12"/>
  <c r="H12" i="12"/>
  <c r="H13" i="12"/>
  <c r="H14" i="12"/>
  <c r="H2" i="12"/>
  <c r="F3" i="12"/>
  <c r="F4" i="12"/>
  <c r="F5" i="12"/>
  <c r="F7" i="12"/>
  <c r="F8" i="12"/>
  <c r="F9" i="12"/>
  <c r="F10" i="12"/>
  <c r="F11" i="12"/>
  <c r="F12" i="12"/>
  <c r="F13" i="12"/>
  <c r="F14" i="12"/>
  <c r="F2" i="12"/>
  <c r="E3" i="12"/>
  <c r="E4" i="12"/>
  <c r="E5" i="12"/>
  <c r="E7" i="12"/>
  <c r="E8" i="12"/>
  <c r="E9" i="12"/>
  <c r="E10" i="12"/>
  <c r="E11" i="12"/>
  <c r="E12" i="12"/>
  <c r="E13" i="12"/>
  <c r="E14" i="12"/>
  <c r="E2" i="12"/>
  <c r="G2" i="11"/>
  <c r="F2" i="11"/>
  <c r="E2" i="11"/>
  <c r="F23" i="10" a="1"/>
  <c r="F23" i="10" s="1"/>
  <c r="C6" i="11"/>
  <c r="C5" i="11"/>
  <c r="C4" i="11"/>
  <c r="R5" i="9" a="1"/>
  <c r="R5" i="9" s="1"/>
  <c r="P9" i="9" a="1"/>
  <c r="P9" i="9" s="1"/>
  <c r="I4" i="10" a="1"/>
  <c r="I4" i="10" s="1"/>
  <c r="F7" i="10"/>
  <c r="F6" i="10"/>
  <c r="F5" i="10"/>
  <c r="F4" i="10"/>
  <c r="F3" i="10"/>
  <c r="C2" i="9"/>
  <c r="D2" i="9"/>
  <c r="E2" i="9"/>
  <c r="F2" i="9"/>
  <c r="G2" i="9"/>
  <c r="H2" i="9"/>
  <c r="I2" i="9"/>
  <c r="J2" i="9"/>
  <c r="C3" i="9"/>
  <c r="D3" i="9"/>
  <c r="E3" i="9"/>
  <c r="F3" i="9"/>
  <c r="G3" i="9"/>
  <c r="H3" i="9"/>
  <c r="I3" i="9"/>
  <c r="J3" i="9"/>
  <c r="C4" i="9"/>
  <c r="D4" i="9"/>
  <c r="E4" i="9"/>
  <c r="F4" i="9"/>
  <c r="G4" i="9"/>
  <c r="H4" i="9"/>
  <c r="I4" i="9"/>
  <c r="J4" i="9"/>
  <c r="C5" i="9"/>
  <c r="D5" i="9"/>
  <c r="E5" i="9"/>
  <c r="F5" i="9"/>
  <c r="G5" i="9"/>
  <c r="H5" i="9"/>
  <c r="I5" i="9"/>
  <c r="J5" i="9"/>
  <c r="C6" i="9"/>
  <c r="D6" i="9"/>
  <c r="E6" i="9"/>
  <c r="F6" i="9"/>
  <c r="G6" i="9"/>
  <c r="H6" i="9"/>
  <c r="I6" i="9"/>
  <c r="J6" i="9"/>
  <c r="C7" i="9"/>
  <c r="D7" i="9"/>
  <c r="E7" i="9"/>
  <c r="F7" i="9"/>
  <c r="G7" i="9"/>
  <c r="H7" i="9"/>
  <c r="I7" i="9"/>
  <c r="J7" i="9"/>
  <c r="C8" i="9"/>
  <c r="D8" i="9"/>
  <c r="E8" i="9"/>
  <c r="F8" i="9"/>
  <c r="G8" i="9"/>
  <c r="H8" i="9"/>
  <c r="I8" i="9"/>
  <c r="J8" i="9"/>
  <c r="C9" i="9"/>
  <c r="D9" i="9"/>
  <c r="E9" i="9"/>
  <c r="F9" i="9"/>
  <c r="G9" i="9"/>
  <c r="H9" i="9"/>
  <c r="I9" i="9"/>
  <c r="J9" i="9"/>
  <c r="C10" i="9"/>
  <c r="D10" i="9"/>
  <c r="E10" i="9"/>
  <c r="F10" i="9"/>
  <c r="G10" i="9"/>
  <c r="H10" i="9"/>
  <c r="I10" i="9"/>
  <c r="J10" i="9"/>
  <c r="B3" i="9"/>
  <c r="B4" i="9"/>
  <c r="B5" i="9"/>
  <c r="B6" i="9"/>
  <c r="B7" i="9"/>
  <c r="B8" i="9"/>
  <c r="B9" i="9"/>
  <c r="B10" i="9"/>
  <c r="B2" i="9"/>
  <c r="H10" i="8"/>
  <c r="H9" i="8"/>
  <c r="H8" i="8"/>
  <c r="H7" i="8"/>
  <c r="H6" i="8"/>
  <c r="H5" i="8"/>
  <c r="D11" i="8"/>
  <c r="D10" i="8"/>
  <c r="D9" i="8"/>
  <c r="D8" i="8"/>
  <c r="D7" i="8"/>
  <c r="D6" i="8"/>
  <c r="D5" i="8"/>
  <c r="I35" i="7"/>
  <c r="I34" i="7"/>
  <c r="I33" i="7"/>
  <c r="I32" i="7"/>
  <c r="I31" i="7"/>
  <c r="I30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11" i="1"/>
  <c r="V2" i="1"/>
  <c r="T3" i="1"/>
  <c r="T4" i="1"/>
  <c r="R3" i="1"/>
  <c r="R4" i="1"/>
  <c r="R5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D11" i="11"/>
  <c r="E11" i="11" s="1"/>
  <c r="A6" i="12"/>
  <c r="C2" i="12" s="1" a="1"/>
  <c r="C2" i="12" s="1"/>
  <c r="F11" i="11" l="1"/>
  <c r="H6" i="12"/>
  <c r="F6" i="12"/>
  <c r="E6" i="12"/>
  <c r="D2" i="12" a="1"/>
  <c r="D2" i="12" s="1"/>
  <c r="B2" i="12" a="1"/>
  <c r="B2" i="12" s="1"/>
  <c r="S9" i="1"/>
  <c r="S8" i="1"/>
  <c r="S7" i="1"/>
  <c r="S6" i="1"/>
  <c r="V10" i="1"/>
  <c r="S5" i="1"/>
  <c r="V9" i="1"/>
  <c r="S4" i="1"/>
  <c r="V8" i="1"/>
  <c r="S3" i="1"/>
  <c r="V7" i="1"/>
  <c r="R6" i="1"/>
  <c r="V6" i="1"/>
  <c r="U2" i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<sst xmlns="http://schemas.openxmlformats.org/spreadsheetml/2006/main" count="695" uniqueCount="441">
  <si>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</si>
  <si>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</si>
  <si>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</si>
  <si>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</si>
  <si>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</si>
  <si>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</si>
  <si>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</si>
  <si>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</si>
  <si>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</si>
  <si>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</si>
  <si>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</si>
  <si>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</si>
  <si>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</si>
  <si>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</si>
  <si>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</si>
  <si>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</si>
  <si>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</si>
  <si>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</si>
  <si>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</si>
  <si>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</si>
  <si>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</si>
  <si>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</si>
  <si>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</si>
  <si>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</si>
  <si>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</si>
  <si>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</si>
  <si>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</si>
  <si>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</si>
  <si>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</si>
  <si>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</si>
  <si>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</si>
  <si>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</si>
  <si>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</si>
  <si>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</si>
  <si>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</si>
  <si>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</si>
  <si>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</si>
  <si>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</si>
  <si>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</si>
  <si>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</si>
  <si>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</si>
  <si>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</si>
  <si>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</si>
  <si>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</si>
  <si>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</si>
  <si>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</si>
  <si>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</si>
  <si>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</si>
  <si>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</si>
  <si>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</si>
  <si>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</si>
  <si>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</si>
  <si>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</si>
  <si>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</si>
  <si>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</si>
  <si>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</si>
  <si>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</si>
  <si>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</si>
  <si>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</si>
  <si>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</si>
  <si>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</si>
  <si>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</si>
  <si>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</si>
  <si>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</si>
  <si>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</si>
  <si>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</si>
  <si>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</si>
  <si>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</si>
  <si>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</si>
  <si>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</si>
  <si>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</si>
  <si>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</si>
  <si>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</si>
  <si>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</si>
  <si>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</si>
  <si>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</si>
  <si>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</si>
  <si>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</si>
  <si>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</si>
  <si>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</si>
  <si>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</si>
  <si>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</si>
  <si>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</si>
  <si>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</si>
  <si>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</si>
  <si>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</si>
  <si>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</si>
  <si>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</si>
  <si>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</si>
  <si>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</si>
  <si>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</si>
  <si>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</si>
  <si>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</si>
  <si>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</si>
  <si>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</si>
  <si>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</si>
  <si>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</si>
  <si>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</si>
  <si>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</si>
  <si>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</si>
  <si>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</si>
  <si>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</si>
  <si>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</si>
  <si>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</si>
  <si>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</si>
  <si>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</si>
  <si>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</si>
  <si>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</si>
  <si>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</si>
  <si>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</si>
  <si>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</si>
  <si>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</si>
  <si>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</si>
  <si>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</si>
  <si>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</si>
  <si>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</si>
  <si>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</si>
  <si>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</si>
  <si>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</si>
  <si>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</si>
  <si>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</si>
  <si>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</si>
  <si>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</si>
  <si>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</si>
  <si>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</si>
  <si>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</si>
  <si>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</si>
  <si>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</si>
  <si>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</si>
  <si>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</si>
  <si>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</si>
  <si>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</si>
  <si>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</si>
  <si>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</si>
  <si>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</si>
  <si>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</si>
  <si>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</si>
  <si>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</si>
  <si>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</si>
  <si>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</si>
  <si>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</si>
  <si>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</si>
  <si>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</si>
  <si>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</si>
  <si>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</si>
  <si>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</si>
  <si>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</si>
  <si>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</si>
  <si>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</si>
  <si>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</si>
  <si>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</si>
  <si>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</si>
  <si>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</si>
  <si>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</si>
  <si>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</si>
  <si>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</si>
  <si>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</si>
  <si>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</si>
  <si>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</si>
  <si>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</si>
  <si>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</si>
  <si>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</si>
  <si>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</si>
  <si>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</si>
  <si>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</si>
  <si>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</si>
  <si>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</si>
  <si>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</si>
  <si>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</si>
  <si>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</si>
  <si>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</si>
  <si>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</si>
  <si>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</si>
  <si>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</si>
  <si>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</si>
  <si>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</si>
  <si>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</si>
  <si>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</si>
  <si>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</si>
  <si>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</si>
  <si>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</si>
  <si>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</si>
  <si>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</si>
  <si>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</si>
  <si>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</si>
  <si>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</si>
  <si>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</si>
  <si>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</si>
  <si>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</si>
  <si>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</si>
  <si>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</si>
  <si>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</si>
  <si>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</si>
  <si>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</si>
  <si>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</si>
  <si>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</si>
  <si>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</si>
  <si>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</si>
  <si>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</si>
  <si>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</si>
  <si>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</si>
  <si>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</si>
  <si>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</si>
  <si>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</si>
  <si>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</si>
  <si>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</si>
  <si>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</si>
  <si>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</si>
  <si>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</si>
  <si>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</si>
  <si>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</si>
  <si>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</si>
  <si>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</si>
  <si>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</si>
  <si>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</si>
  <si>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</si>
  <si>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</si>
  <si>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</si>
  <si>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</si>
  <si>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</si>
  <si>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</si>
  <si>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</si>
  <si>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</si>
  <si>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</si>
  <si>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</si>
  <si>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</si>
  <si>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</si>
  <si>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</si>
  <si>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</si>
  <si>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</si>
  <si>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</si>
  <si>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</si>
  <si>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</si>
  <si>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</si>
  <si>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</si>
  <si>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Example-1</t>
  </si>
  <si>
    <t>Example-2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</si>
  <si>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</si>
  <si>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</si>
  <si>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</si>
  <si>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</si>
  <si>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</si>
  <si>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</si>
  <si>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</si>
  <si>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</si>
  <si>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</si>
  <si>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</si>
  <si>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</si>
  <si>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</si>
  <si>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</si>
  <si>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</si>
  <si>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</si>
  <si>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</si>
  <si>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</si>
  <si>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</si>
  <si>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</si>
  <si>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</si>
  <si>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</si>
  <si>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</si>
  <si>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</si>
  <si>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</si>
  <si>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</si>
  <si>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</si>
  <si>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</si>
  <si>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</si>
  <si>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</si>
  <si>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</si>
  <si>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</si>
  <si>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</si>
  <si>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</si>
  <si>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</si>
  <si>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</si>
  <si>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</si>
  <si>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</si>
  <si>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</si>
  <si>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</si>
  <si>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</si>
  <si>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</si>
  <si>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</si>
  <si>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</si>
  <si>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</si>
  <si>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</si>
  <si>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</si>
  <si>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</si>
  <si>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</si>
  <si>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</si>
  <si>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</si>
  <si>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</si>
  <si>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</si>
  <si>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</si>
  <si>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</si>
  <si>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</si>
  <si>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</si>
  <si>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</si>
  <si>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</si>
  <si>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</si>
  <si>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</si>
  <si>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</si>
  <si>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</si>
  <si>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</si>
  <si>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</si>
  <si>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</si>
  <si>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</si>
  <si>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</si>
  <si>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</si>
  <si>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</si>
  <si>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</si>
  <si>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</si>
  <si>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</si>
  <si>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</si>
  <si>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</si>
  <si>
    <t>*=g5*(fn+f4[j2])</t>
  </si>
  <si>
    <t>*=B$1*$A2</t>
  </si>
  <si>
    <t>select b2:b14</t>
  </si>
  <si>
    <t>then go to formulas</t>
  </si>
  <si>
    <t>there select name manager</t>
  </si>
  <si>
    <t>there select new</t>
  </si>
  <si>
    <t>type a name</t>
  </si>
  <si>
    <t>select the scope</t>
  </si>
  <si>
    <t>*=today()</t>
  </si>
  <si>
    <t>*=now()</t>
  </si>
  <si>
    <t>*=now()-today()</t>
  </si>
  <si>
    <t>click ok</t>
  </si>
  <si>
    <t>then close</t>
  </si>
  <si>
    <t>type =salary</t>
  </si>
  <si>
    <t>select the required cells</t>
  </si>
  <si>
    <t>then click fill in home tab</t>
  </si>
  <si>
    <t>then select series</t>
  </si>
  <si>
    <t>then enter the stop count</t>
  </si>
  <si>
    <t>select growth</t>
  </si>
  <si>
    <t>enter the step count</t>
  </si>
  <si>
    <t>then enter the step count</t>
  </si>
  <si>
    <t>select date</t>
  </si>
  <si>
    <t>then select the day units - month</t>
  </si>
  <si>
    <t>then select the day units to year</t>
  </si>
  <si>
    <t>enter the step value</t>
  </si>
  <si>
    <t>select the day unit to weekdays</t>
  </si>
  <si>
    <t>Monday</t>
  </si>
  <si>
    <t>Tuesday</t>
  </si>
  <si>
    <t>Wednesday</t>
  </si>
  <si>
    <t>Thursday</t>
  </si>
  <si>
    <t>Friday</t>
  </si>
  <si>
    <t>Saturday</t>
  </si>
  <si>
    <t>Sunday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</si>
  <si>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</si>
  <si>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</si>
  <si>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</si>
  <si>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</si>
  <si>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</si>
  <si>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</si>
  <si>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</si>
  <si>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</si>
  <si>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</si>
  <si>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</si>
  <si>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</si>
  <si>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</si>
  <si>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table</t>
  </si>
  <si>
    <t>chair</t>
  </si>
  <si>
    <t>board</t>
  </si>
  <si>
    <t>wall</t>
  </si>
  <si>
    <t>room</t>
  </si>
  <si>
    <t>screen</t>
  </si>
  <si>
    <t>projector</t>
  </si>
  <si>
    <t>just enter the first character</t>
  </si>
  <si>
    <t>then drag it</t>
  </si>
  <si>
    <t>go to files</t>
  </si>
  <si>
    <t>click option</t>
  </si>
  <si>
    <t>click advanced</t>
  </si>
  <si>
    <t>scroll dowun to botton of advanced</t>
  </si>
  <si>
    <t>KA</t>
  </si>
  <si>
    <t>KP</t>
  </si>
  <si>
    <t>MH</t>
  </si>
  <si>
    <t>AP</t>
  </si>
  <si>
    <t>TN</t>
  </si>
  <si>
    <t>RD</t>
  </si>
  <si>
    <t>NA</t>
  </si>
  <si>
    <t>TS</t>
  </si>
  <si>
    <t>BA</t>
  </si>
  <si>
    <t>KL</t>
  </si>
  <si>
    <t>ST</t>
  </si>
  <si>
    <t>WB</t>
  </si>
  <si>
    <t>CG</t>
  </si>
  <si>
    <t>UP</t>
  </si>
  <si>
    <t>OR</t>
  </si>
  <si>
    <t>KN</t>
  </si>
  <si>
    <t>DL</t>
  </si>
  <si>
    <t>EG</t>
  </si>
  <si>
    <t>GA</t>
  </si>
  <si>
    <t>selec the required data field</t>
  </si>
  <si>
    <t>the select the data</t>
  </si>
  <si>
    <t>then click text to columns</t>
  </si>
  <si>
    <t>Thakur</t>
  </si>
  <si>
    <t>Muthanna</t>
  </si>
  <si>
    <t>Gupta</t>
  </si>
  <si>
    <t>select the delimited</t>
  </si>
  <si>
    <t>then click next</t>
  </si>
  <si>
    <t xml:space="preserve"> Priya</t>
  </si>
  <si>
    <t xml:space="preserve">AgarwaL </t>
  </si>
  <si>
    <t xml:space="preserve"> Ajay</t>
  </si>
  <si>
    <t xml:space="preserve">Kumar </t>
  </si>
  <si>
    <t>KA05KP8562</t>
  </si>
  <si>
    <t>MH05AP9845</t>
  </si>
  <si>
    <t>TN10RD9878</t>
  </si>
  <si>
    <t>AP10NA2378</t>
  </si>
  <si>
    <t>TS04BA9567</t>
  </si>
  <si>
    <t>KL07ST8923</t>
  </si>
  <si>
    <t>WB11CG5679</t>
  </si>
  <si>
    <t>UP09ST7453</t>
  </si>
  <si>
    <t>OR06KN4598</t>
  </si>
  <si>
    <t>DL03EG8345</t>
  </si>
  <si>
    <t>GA05AP3456</t>
  </si>
  <si>
    <t>then select the delimeters</t>
  </si>
  <si>
    <t>then click ok</t>
  </si>
  <si>
    <t>if you want any text qualifers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</si>
  <si>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</si>
  <si>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</si>
  <si>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</si>
  <si>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</si>
  <si>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</si>
  <si>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</si>
  <si>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</si>
  <si>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</si>
  <si>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</si>
  <si>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</si>
  <si>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write the name in lower case</t>
  </si>
  <si>
    <t>JK123@GMAIL.COM</t>
  </si>
  <si>
    <t>AT123@GMAIL.COM</t>
  </si>
  <si>
    <t>PA123@GMAIL.COM</t>
  </si>
  <si>
    <t>RV123@GMAIL.COM</t>
  </si>
  <si>
    <t>SG123@GMAIL.COM</t>
  </si>
  <si>
    <t>JB123@GMAIL.COM</t>
  </si>
  <si>
    <t>PD123@GMAIL.COM</t>
  </si>
  <si>
    <t>MG123@GMAIL.COM</t>
  </si>
  <si>
    <t>AJ123@GMAIL.COM</t>
  </si>
  <si>
    <t>AK123@GMAIL.COM</t>
  </si>
  <si>
    <t>edit custom list</t>
  </si>
  <si>
    <t>select the required text or series</t>
  </si>
  <si>
    <t>then click add</t>
  </si>
  <si>
    <t>click of</t>
  </si>
  <si>
    <t>then select the destination where to display</t>
  </si>
  <si>
    <t>then click finish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</si>
</sst>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18" fontId="0" fillId="0" borderId="0" xfId="0" applyNumberForma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mailto:MG123@GMAIL.COM" TargetMode="External"/><Relationship Id="rId3" Type="http://schemas.openxmlformats.org/officeDocument/2006/relationships/hyperlink" Target="mailto:PA123@GMAIL.COM" TargetMode="External"/><Relationship Id="rId7" Type="http://schemas.openxmlformats.org/officeDocument/2006/relationships/hyperlink" Target="mailto:PD123@GMAIL.COM" TargetMode="External"/><Relationship Id="rId2" Type="http://schemas.openxmlformats.org/officeDocument/2006/relationships/hyperlink" Target="mailto:AT123@GMAIL.COM" TargetMode="External"/><Relationship Id="rId1" Type="http://schemas.openxmlformats.org/officeDocument/2006/relationships/hyperlink" Target="mailto:JK123@GMAIL.COM" TargetMode="External"/><Relationship Id="rId6" Type="http://schemas.openxmlformats.org/officeDocument/2006/relationships/hyperlink" Target="mailto:JB123@GMAIL.COM" TargetMode="External"/><Relationship Id="rId5" Type="http://schemas.openxmlformats.org/officeDocument/2006/relationships/hyperlink" Target="mailto:SG123@GMAIL.COM" TargetMode="External"/><Relationship Id="rId10" Type="http://schemas.openxmlformats.org/officeDocument/2006/relationships/hyperlink" Target="mailto:AK123@GMAIL.COM" TargetMode="External"/><Relationship Id="rId4" Type="http://schemas.openxmlformats.org/officeDocument/2006/relationships/hyperlink" Target="mailto:RV123@GMAIL.COM" TargetMode="External"/><Relationship Id="rId9" Type="http://schemas.openxmlformats.org/officeDocument/2006/relationships/hyperlink" Target="mailto:AJ12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271</v>
      </c>
      <c r="J1" t="s">
        <v>272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276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245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273</v>
      </c>
      <c r="Q13" t="s">
        <v>274</v>
      </c>
      <c r="U13" t="s">
        <v>275</v>
      </c>
    </row>
    <row r="15" spans="1:24" x14ac:dyDescent="0.35">
      <c r="A15" t="s">
        <v>264</v>
      </c>
    </row>
    <row r="16" spans="1:24" x14ac:dyDescent="0.35">
      <c r="A16" t="s">
        <v>265</v>
      </c>
    </row>
    <row r="18" spans="1:1" x14ac:dyDescent="0.35">
      <c r="A18" t="s">
        <v>266</v>
      </c>
    </row>
    <row r="19" spans="1:1" x14ac:dyDescent="0.35">
      <c r="A19" t="s">
        <v>267</v>
      </c>
    </row>
    <row r="20" spans="1:1" x14ac:dyDescent="0.35">
      <c r="A20" t="s">
        <v>268</v>
      </c>
    </row>
    <row r="21" spans="1:1" x14ac:dyDescent="0.35">
      <c r="A21" t="s">
        <v>269</v>
      </c>
    </row>
    <row r="24" spans="1:1" x14ac:dyDescent="0.35">
      <c r="A24" t="s">
        <v>270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246</v>
      </c>
      <c r="B4" t="s">
        <v>246</v>
      </c>
      <c r="E4" t="s">
        <v>246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247</v>
      </c>
      <c r="B10" t="s">
        <v>247</v>
      </c>
      <c r="E10" t="s">
        <v>247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277</v>
      </c>
    </row>
    <row r="14" spans="1:6" x14ac:dyDescent="0.35">
      <c r="E14" t="s">
        <v>278</v>
      </c>
    </row>
    <row r="15" spans="1:6" x14ac:dyDescent="0.35">
      <c r="E15" t="s">
        <v>279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284</v>
      </c>
      <c r="C11" t="s">
        <v>285</v>
      </c>
      <c r="D11" t="s">
        <v>286</v>
      </c>
      <c r="E11" t="s">
        <v>287</v>
      </c>
    </row>
    <row r="12" spans="1:10" x14ac:dyDescent="0.35">
      <c r="A12" t="s">
        <v>280</v>
      </c>
      <c r="B12" t="s">
        <v>283</v>
      </c>
      <c r="H12" t="s">
        <v>288</v>
      </c>
      <c r="I12" t="s">
        <v>289</v>
      </c>
    </row>
    <row r="13" spans="1:10" x14ac:dyDescent="0.35">
      <c r="A13">
        <f ca="1">RAND()</f>
        <v>0.29646970589883925</v>
      </c>
      <c r="I13" t="s">
        <v>290</v>
      </c>
    </row>
    <row r="15" spans="1:10" x14ac:dyDescent="0.35">
      <c r="A15" t="s">
        <v>281</v>
      </c>
    </row>
    <row r="16" spans="1:10" x14ac:dyDescent="0.35">
      <c r="A16" s="13" t="s">
        <v>282</v>
      </c>
      <c r="B16" s="13"/>
      <c r="C16" s="13"/>
      <c r="D16" s="13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248</v>
      </c>
      <c r="K1" t="s">
        <v>56</v>
      </c>
      <c r="L1" t="s">
        <v>79</v>
      </c>
      <c r="N1" t="s">
        <v>56</v>
      </c>
      <c r="O1" t="s">
        <v>249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291</v>
      </c>
      <c r="C13" t="s">
        <v>292</v>
      </c>
      <c r="D13" t="s">
        <v>293</v>
      </c>
      <c r="E13" t="s">
        <v>294</v>
      </c>
    </row>
    <row r="14" spans="1:25" x14ac:dyDescent="0.35">
      <c r="B14" t="s">
        <v>295</v>
      </c>
      <c r="C14" t="s">
        <v>296</v>
      </c>
      <c r="D14" t="s">
        <v>297</v>
      </c>
      <c r="I14" t="s">
        <v>298</v>
      </c>
      <c r="J14" t="s">
        <v>299</v>
      </c>
      <c r="L14" t="s">
        <v>300</v>
      </c>
      <c r="O14" t="s">
        <v>301</v>
      </c>
      <c r="R14" t="s">
        <v>302</v>
      </c>
      <c r="S14" t="s">
        <v>303</v>
      </c>
      <c r="V14" t="s">
        <v>304</v>
      </c>
      <c r="Y14" t="s">
        <v>305</v>
      </c>
    </row>
    <row r="15" spans="1:25" x14ac:dyDescent="0.35">
      <c r="R15" t="s">
        <v>306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topLeftCell="E8" zoomScale="98" zoomScaleNormal="98" workbookViewId="0">
      <selection activeCell="I29" sqref="I29:I35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262</v>
      </c>
    </row>
    <row r="2" spans="1:13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H3">
        <f t="shared" ref="H3:H21" si="0">RANK(G3,$G$2:$G$21,)</f>
        <v>3</v>
      </c>
      <c r="I3" t="s">
        <v>250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H4">
        <f t="shared" si="0"/>
        <v>5</v>
      </c>
      <c r="I4" t="s">
        <v>251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H5">
        <f t="shared" si="0"/>
        <v>3</v>
      </c>
      <c r="I5" t="s">
        <v>252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H6">
        <f t="shared" si="0"/>
        <v>1</v>
      </c>
      <c r="I6" t="s">
        <v>253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H7">
        <f t="shared" si="0"/>
        <v>13</v>
      </c>
      <c r="I7" t="s">
        <v>254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H8">
        <f t="shared" si="0"/>
        <v>19</v>
      </c>
      <c r="I8" t="s">
        <v>255</v>
      </c>
      <c r="J8">
        <f>COUNTA(D2:D21)</f>
        <v>19</v>
      </c>
      <c r="L8" t="s">
        <v>141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H9">
        <f t="shared" si="0"/>
        <v>15</v>
      </c>
      <c r="I9" t="s">
        <v>256</v>
      </c>
      <c r="J9">
        <f>COUNTBLANK(C2:C21)</f>
        <v>3</v>
      </c>
      <c r="L9" t="s">
        <v>142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H10">
        <f t="shared" si="0"/>
        <v>17</v>
      </c>
      <c r="I10" t="s">
        <v>257</v>
      </c>
      <c r="L10" t="s">
        <v>143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H11">
        <f t="shared" si="0"/>
        <v>11</v>
      </c>
      <c r="I11" t="s">
        <v>257</v>
      </c>
    </row>
    <row r="12" spans="1:13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H12">
        <f t="shared" si="0"/>
        <v>5</v>
      </c>
      <c r="I12" t="s">
        <v>257</v>
      </c>
    </row>
    <row r="13" spans="1:13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H13">
        <f t="shared" si="0"/>
        <v>8</v>
      </c>
      <c r="I13" t="s">
        <v>258</v>
      </c>
    </row>
    <row r="14" spans="1:13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H14">
        <f t="shared" si="0"/>
        <v>1</v>
      </c>
      <c r="I14" t="s">
        <v>259</v>
      </c>
    </row>
    <row r="15" spans="1:13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H15">
        <f t="shared" si="0"/>
        <v>13</v>
      </c>
      <c r="I15" t="s">
        <v>257</v>
      </c>
      <c r="L15" t="s">
        <v>139</v>
      </c>
    </row>
    <row r="16" spans="1:13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H16">
        <f t="shared" si="0"/>
        <v>19</v>
      </c>
      <c r="I16" t="s">
        <v>260</v>
      </c>
      <c r="L16" t="s">
        <v>263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H17">
        <f t="shared" si="0"/>
        <v>15</v>
      </c>
      <c r="I17" t="s">
        <v>261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  <c r="H21">
        <f t="shared" si="0"/>
        <v>8</v>
      </c>
    </row>
    <row r="24" spans="1:12" x14ac:dyDescent="0.35">
      <c r="H24" t="s">
        <v>307</v>
      </c>
    </row>
    <row r="28" spans="1:12" x14ac:dyDescent="0.35">
      <c r="J28" t="s">
        <v>308</v>
      </c>
      <c r="K28" t="s">
        <v>309</v>
      </c>
      <c r="L28" t="s">
        <v>310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3"/>
  <sheetViews>
    <sheetView zoomScale="110" zoomScaleNormal="130" workbookViewId="0">
      <selection activeCell="G18" sqref="G18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3" t="s">
        <v>145</v>
      </c>
      <c r="C3" s="13"/>
      <c r="D3" s="13"/>
      <c r="F3" s="13" t="s">
        <v>146</v>
      </c>
      <c r="G3" s="13"/>
      <c r="H3" s="13"/>
      <c r="I3" s="13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D5">
        <f>B5*C5</f>
        <v>154.1</v>
      </c>
      <c r="F5" t="s">
        <v>155</v>
      </c>
      <c r="G5">
        <v>8900</v>
      </c>
      <c r="H5">
        <f>G5*$J$2</f>
        <v>890</v>
      </c>
    </row>
    <row r="6" spans="1:10" x14ac:dyDescent="0.35">
      <c r="A6" t="s">
        <v>156</v>
      </c>
      <c r="B6">
        <v>443</v>
      </c>
      <c r="C6">
        <v>4.5</v>
      </c>
      <c r="D6">
        <f t="shared" ref="D6:D11" si="0">B6*C6</f>
        <v>1993.5</v>
      </c>
      <c r="E6" s="5"/>
      <c r="F6" t="s">
        <v>157</v>
      </c>
      <c r="G6">
        <v>45000</v>
      </c>
      <c r="H6">
        <f t="shared" ref="H6:H10" si="1">G6*$J$2</f>
        <v>4500</v>
      </c>
    </row>
    <row r="7" spans="1:10" x14ac:dyDescent="0.35">
      <c r="A7" t="s">
        <v>158</v>
      </c>
      <c r="B7">
        <v>454</v>
      </c>
      <c r="C7">
        <v>6.7</v>
      </c>
      <c r="D7">
        <f t="shared" si="0"/>
        <v>3041.8</v>
      </c>
      <c r="F7" t="s">
        <v>159</v>
      </c>
      <c r="G7">
        <v>34005</v>
      </c>
      <c r="H7">
        <f t="shared" si="1"/>
        <v>3400.5</v>
      </c>
    </row>
    <row r="8" spans="1:10" x14ac:dyDescent="0.35">
      <c r="A8" t="s">
        <v>160</v>
      </c>
      <c r="B8">
        <v>65</v>
      </c>
      <c r="C8">
        <v>8.1999999999999993</v>
      </c>
      <c r="D8">
        <f t="shared" si="0"/>
        <v>533</v>
      </c>
      <c r="F8" t="s">
        <v>161</v>
      </c>
      <c r="G8">
        <v>23900</v>
      </c>
      <c r="H8">
        <f t="shared" si="1"/>
        <v>2390</v>
      </c>
    </row>
    <row r="9" spans="1:10" x14ac:dyDescent="0.35">
      <c r="A9" t="s">
        <v>162</v>
      </c>
      <c r="B9">
        <v>34</v>
      </c>
      <c r="C9">
        <v>5.5</v>
      </c>
      <c r="D9">
        <f t="shared" si="0"/>
        <v>187</v>
      </c>
      <c r="E9" s="5"/>
      <c r="F9" t="s">
        <v>163</v>
      </c>
      <c r="G9">
        <v>32000</v>
      </c>
      <c r="H9">
        <f t="shared" si="1"/>
        <v>3200</v>
      </c>
    </row>
    <row r="10" spans="1:10" x14ac:dyDescent="0.35">
      <c r="A10" t="s">
        <v>164</v>
      </c>
      <c r="B10">
        <v>45</v>
      </c>
      <c r="C10">
        <v>3.8</v>
      </c>
      <c r="D10">
        <f t="shared" si="0"/>
        <v>171</v>
      </c>
      <c r="F10" t="s">
        <v>165</v>
      </c>
      <c r="G10">
        <v>12000</v>
      </c>
      <c r="H10">
        <f t="shared" si="1"/>
        <v>1200</v>
      </c>
    </row>
    <row r="11" spans="1:10" x14ac:dyDescent="0.35">
      <c r="A11" t="s">
        <v>166</v>
      </c>
      <c r="B11">
        <v>32</v>
      </c>
      <c r="C11">
        <v>7.4</v>
      </c>
      <c r="D11">
        <f t="shared" si="0"/>
        <v>236.8</v>
      </c>
    </row>
    <row r="13" spans="1:10" x14ac:dyDescent="0.35">
      <c r="H13" t="s">
        <v>311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R17"/>
  <sheetViews>
    <sheetView zoomScaleNormal="100" workbookViewId="0">
      <selection activeCell="I20" sqref="I20"/>
    </sheetView>
  </sheetViews>
  <sheetFormatPr defaultRowHeight="14.5" x14ac:dyDescent="0.35"/>
  <cols>
    <col min="5" max="5" width="10.08984375" bestFit="1" customWidth="1"/>
  </cols>
  <sheetData>
    <row r="1" spans="1:18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8" x14ac:dyDescent="0.35">
      <c r="A2">
        <v>2</v>
      </c>
      <c r="B2">
        <f>B$1*$A2</f>
        <v>4</v>
      </c>
      <c r="C2">
        <f t="shared" ref="C2:J2" si="0">C$1*$A2</f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</row>
    <row r="3" spans="1:18" x14ac:dyDescent="0.35">
      <c r="A3">
        <v>3</v>
      </c>
      <c r="B3">
        <f t="shared" ref="B3:J10" si="1">B$1*$A3</f>
        <v>6</v>
      </c>
      <c r="C3">
        <f t="shared" si="1"/>
        <v>9</v>
      </c>
      <c r="D3">
        <f t="shared" si="1"/>
        <v>12</v>
      </c>
      <c r="E3">
        <f t="shared" si="1"/>
        <v>15</v>
      </c>
      <c r="F3">
        <f t="shared" si="1"/>
        <v>18</v>
      </c>
      <c r="G3">
        <f t="shared" si="1"/>
        <v>21</v>
      </c>
      <c r="H3">
        <f t="shared" si="1"/>
        <v>24</v>
      </c>
      <c r="I3">
        <f t="shared" si="1"/>
        <v>27</v>
      </c>
      <c r="J3">
        <f t="shared" si="1"/>
        <v>30</v>
      </c>
    </row>
    <row r="4" spans="1:18" x14ac:dyDescent="0.35">
      <c r="A4">
        <v>4</v>
      </c>
      <c r="B4">
        <f t="shared" si="1"/>
        <v>8</v>
      </c>
      <c r="C4">
        <f t="shared" si="1"/>
        <v>12</v>
      </c>
      <c r="D4">
        <f t="shared" si="1"/>
        <v>16</v>
      </c>
      <c r="E4">
        <f t="shared" si="1"/>
        <v>20</v>
      </c>
      <c r="F4">
        <f t="shared" si="1"/>
        <v>24</v>
      </c>
      <c r="G4">
        <f t="shared" si="1"/>
        <v>28</v>
      </c>
      <c r="H4">
        <f t="shared" si="1"/>
        <v>32</v>
      </c>
      <c r="I4">
        <f t="shared" si="1"/>
        <v>36</v>
      </c>
      <c r="J4">
        <f t="shared" si="1"/>
        <v>40</v>
      </c>
    </row>
    <row r="5" spans="1:18" x14ac:dyDescent="0.35">
      <c r="A5">
        <v>5</v>
      </c>
      <c r="B5">
        <f t="shared" si="1"/>
        <v>10</v>
      </c>
      <c r="C5">
        <f t="shared" si="1"/>
        <v>15</v>
      </c>
      <c r="D5">
        <f t="shared" si="1"/>
        <v>20</v>
      </c>
      <c r="E5">
        <f t="shared" si="1"/>
        <v>25</v>
      </c>
      <c r="F5">
        <f t="shared" si="1"/>
        <v>30</v>
      </c>
      <c r="G5">
        <f t="shared" si="1"/>
        <v>35</v>
      </c>
      <c r="H5">
        <f t="shared" si="1"/>
        <v>40</v>
      </c>
      <c r="I5">
        <f t="shared" si="1"/>
        <v>45</v>
      </c>
      <c r="J5">
        <f t="shared" si="1"/>
        <v>50</v>
      </c>
      <c r="R5" cm="1">
        <f t="array" ref="R5:R17">salary</f>
        <v>10000</v>
      </c>
    </row>
    <row r="6" spans="1:18" x14ac:dyDescent="0.35">
      <c r="A6">
        <v>6</v>
      </c>
      <c r="B6">
        <f t="shared" si="1"/>
        <v>12</v>
      </c>
      <c r="C6">
        <f t="shared" si="1"/>
        <v>18</v>
      </c>
      <c r="D6">
        <f t="shared" si="1"/>
        <v>24</v>
      </c>
      <c r="E6">
        <f t="shared" si="1"/>
        <v>30</v>
      </c>
      <c r="F6">
        <f t="shared" si="1"/>
        <v>36</v>
      </c>
      <c r="G6">
        <f t="shared" si="1"/>
        <v>42</v>
      </c>
      <c r="H6">
        <f t="shared" si="1"/>
        <v>48</v>
      </c>
      <c r="I6">
        <f t="shared" si="1"/>
        <v>54</v>
      </c>
      <c r="J6">
        <f t="shared" si="1"/>
        <v>60</v>
      </c>
      <c r="R6">
        <v>12000</v>
      </c>
    </row>
    <row r="7" spans="1:18" x14ac:dyDescent="0.35">
      <c r="A7">
        <v>7</v>
      </c>
      <c r="B7">
        <f t="shared" si="1"/>
        <v>14</v>
      </c>
      <c r="C7">
        <f t="shared" si="1"/>
        <v>21</v>
      </c>
      <c r="D7">
        <f t="shared" si="1"/>
        <v>28</v>
      </c>
      <c r="E7">
        <f t="shared" si="1"/>
        <v>35</v>
      </c>
      <c r="F7">
        <f t="shared" si="1"/>
        <v>42</v>
      </c>
      <c r="G7">
        <f t="shared" si="1"/>
        <v>49</v>
      </c>
      <c r="H7">
        <f t="shared" si="1"/>
        <v>56</v>
      </c>
      <c r="I7">
        <f t="shared" si="1"/>
        <v>63</v>
      </c>
      <c r="J7">
        <f t="shared" si="1"/>
        <v>70</v>
      </c>
      <c r="R7">
        <v>11250</v>
      </c>
    </row>
    <row r="8" spans="1:18" x14ac:dyDescent="0.35">
      <c r="A8">
        <v>8</v>
      </c>
      <c r="B8">
        <f t="shared" si="1"/>
        <v>16</v>
      </c>
      <c r="C8">
        <f t="shared" si="1"/>
        <v>24</v>
      </c>
      <c r="D8">
        <f t="shared" si="1"/>
        <v>32</v>
      </c>
      <c r="E8">
        <f t="shared" si="1"/>
        <v>40</v>
      </c>
      <c r="F8">
        <f t="shared" si="1"/>
        <v>48</v>
      </c>
      <c r="G8">
        <f t="shared" si="1"/>
        <v>56</v>
      </c>
      <c r="H8">
        <f t="shared" si="1"/>
        <v>64</v>
      </c>
      <c r="I8">
        <f t="shared" si="1"/>
        <v>72</v>
      </c>
      <c r="J8">
        <f t="shared" si="1"/>
        <v>80</v>
      </c>
      <c r="R8">
        <v>12000</v>
      </c>
    </row>
    <row r="9" spans="1:18" x14ac:dyDescent="0.35">
      <c r="A9">
        <v>9</v>
      </c>
      <c r="B9">
        <f t="shared" si="1"/>
        <v>18</v>
      </c>
      <c r="C9">
        <f t="shared" si="1"/>
        <v>27</v>
      </c>
      <c r="D9">
        <f t="shared" si="1"/>
        <v>36</v>
      </c>
      <c r="E9">
        <f t="shared" si="1"/>
        <v>45</v>
      </c>
      <c r="F9">
        <f t="shared" si="1"/>
        <v>54</v>
      </c>
      <c r="G9">
        <f t="shared" si="1"/>
        <v>63</v>
      </c>
      <c r="H9">
        <f t="shared" si="1"/>
        <v>72</v>
      </c>
      <c r="I9">
        <f t="shared" si="1"/>
        <v>81</v>
      </c>
      <c r="J9">
        <f t="shared" si="1"/>
        <v>90</v>
      </c>
      <c r="P9" t="e" cm="1">
        <f t="array" ref="P9">names</f>
        <v>#NAME?</v>
      </c>
      <c r="R9">
        <v>16250</v>
      </c>
    </row>
    <row r="10" spans="1:18" x14ac:dyDescent="0.35">
      <c r="A10">
        <v>10</v>
      </c>
      <c r="B10">
        <f t="shared" si="1"/>
        <v>20</v>
      </c>
      <c r="C10">
        <f t="shared" si="1"/>
        <v>30</v>
      </c>
      <c r="D10">
        <f t="shared" si="1"/>
        <v>40</v>
      </c>
      <c r="E10">
        <f t="shared" si="1"/>
        <v>50</v>
      </c>
      <c r="F10">
        <f t="shared" si="1"/>
        <v>60</v>
      </c>
      <c r="G10">
        <f t="shared" si="1"/>
        <v>70</v>
      </c>
      <c r="H10">
        <f t="shared" si="1"/>
        <v>80</v>
      </c>
      <c r="I10">
        <f t="shared" si="1"/>
        <v>90</v>
      </c>
      <c r="J10">
        <f t="shared" si="1"/>
        <v>100</v>
      </c>
      <c r="R10">
        <v>6400</v>
      </c>
    </row>
    <row r="11" spans="1:18" x14ac:dyDescent="0.35">
      <c r="R11">
        <v>4500</v>
      </c>
    </row>
    <row r="12" spans="1:18" x14ac:dyDescent="0.35">
      <c r="R12">
        <v>6275</v>
      </c>
    </row>
    <row r="13" spans="1:18" x14ac:dyDescent="0.35">
      <c r="R13">
        <v>6250</v>
      </c>
    </row>
    <row r="14" spans="1:18" x14ac:dyDescent="0.35">
      <c r="R14">
        <v>8750</v>
      </c>
    </row>
    <row r="15" spans="1:18" x14ac:dyDescent="0.35">
      <c r="R15">
        <v>11250</v>
      </c>
    </row>
    <row r="16" spans="1:18" x14ac:dyDescent="0.35">
      <c r="E16" s="1" t="s">
        <v>312</v>
      </c>
      <c r="R16">
        <v>10000</v>
      </c>
    </row>
    <row r="17" spans="18:18" x14ac:dyDescent="0.35">
      <c r="R17">
        <v>16250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I35"/>
  <sheetViews>
    <sheetView zoomScale="111" zoomScaleNormal="170" workbookViewId="0">
      <selection activeCell="G20" sqref="G20"/>
    </sheetView>
  </sheetViews>
  <sheetFormatPr defaultRowHeight="14.5" x14ac:dyDescent="0.35"/>
  <cols>
    <col min="1" max="1" width="14.81640625" bestFit="1" customWidth="1"/>
    <col min="2" max="2" width="10.6328125" bestFit="1" customWidth="1"/>
    <col min="4" max="4" width="23.7265625" bestFit="1" customWidth="1"/>
    <col min="9" max="9" width="14.26953125" bestFit="1" customWidth="1"/>
  </cols>
  <sheetData>
    <row r="1" spans="1:9" x14ac:dyDescent="0.35">
      <c r="A1" s="1" t="s">
        <v>0</v>
      </c>
      <c r="B1" t="s">
        <v>94</v>
      </c>
    </row>
    <row r="2" spans="1:9" x14ac:dyDescent="0.35">
      <c r="A2" t="s">
        <v>2</v>
      </c>
      <c r="B2">
        <v>10000</v>
      </c>
    </row>
    <row r="3" spans="1:9" x14ac:dyDescent="0.35">
      <c r="A3" t="s">
        <v>132</v>
      </c>
      <c r="B3">
        <v>12000</v>
      </c>
      <c r="E3" t="s">
        <v>168</v>
      </c>
      <c r="F3">
        <f>SUM(salary)</f>
        <v>131175</v>
      </c>
    </row>
    <row r="4" spans="1:9" x14ac:dyDescent="0.35">
      <c r="A4" t="s">
        <v>123</v>
      </c>
      <c r="B4">
        <v>11250</v>
      </c>
      <c r="E4" t="s">
        <v>169</v>
      </c>
      <c r="F4">
        <f>AVERAGE(salary)</f>
        <v>10090.384615384615</v>
      </c>
      <c r="I4" t="e" cm="1">
        <f t="array" ref="I4">names</f>
        <v>#NAME?</v>
      </c>
    </row>
    <row r="5" spans="1:9" x14ac:dyDescent="0.35">
      <c r="A5" t="s">
        <v>9</v>
      </c>
      <c r="B5">
        <v>12000</v>
      </c>
      <c r="E5" t="s">
        <v>170</v>
      </c>
      <c r="F5">
        <f>MAX(salary)</f>
        <v>16250</v>
      </c>
    </row>
    <row r="6" spans="1:9" x14ac:dyDescent="0.35">
      <c r="A6" t="s">
        <v>10</v>
      </c>
      <c r="B6">
        <v>16250</v>
      </c>
      <c r="E6" t="s">
        <v>171</v>
      </c>
      <c r="F6">
        <f>MIN(salary)</f>
        <v>4500</v>
      </c>
    </row>
    <row r="7" spans="1:9" x14ac:dyDescent="0.35">
      <c r="A7" t="s">
        <v>125</v>
      </c>
      <c r="B7">
        <v>6400</v>
      </c>
      <c r="E7" t="s">
        <v>172</v>
      </c>
      <c r="F7">
        <f>COUNT(salary)</f>
        <v>13</v>
      </c>
    </row>
    <row r="8" spans="1:9" x14ac:dyDescent="0.35">
      <c r="A8" t="s">
        <v>6</v>
      </c>
      <c r="B8">
        <v>4500</v>
      </c>
    </row>
    <row r="9" spans="1:9" x14ac:dyDescent="0.35">
      <c r="A9" t="s">
        <v>1</v>
      </c>
      <c r="B9">
        <v>6275</v>
      </c>
    </row>
    <row r="10" spans="1:9" x14ac:dyDescent="0.35">
      <c r="A10" t="s">
        <v>137</v>
      </c>
      <c r="B10">
        <v>6250</v>
      </c>
    </row>
    <row r="11" spans="1:9" x14ac:dyDescent="0.35">
      <c r="A11" t="s">
        <v>8</v>
      </c>
      <c r="B11">
        <v>8750</v>
      </c>
    </row>
    <row r="12" spans="1:9" x14ac:dyDescent="0.35">
      <c r="A12" t="s">
        <v>7</v>
      </c>
      <c r="B12">
        <v>11250</v>
      </c>
    </row>
    <row r="13" spans="1:9" x14ac:dyDescent="0.35">
      <c r="A13" t="s">
        <v>126</v>
      </c>
      <c r="B13">
        <v>10000</v>
      </c>
    </row>
    <row r="14" spans="1:9" x14ac:dyDescent="0.35">
      <c r="A14" t="s">
        <v>3</v>
      </c>
      <c r="B14">
        <v>16250</v>
      </c>
    </row>
    <row r="15" spans="1:9" x14ac:dyDescent="0.35">
      <c r="D15" t="s">
        <v>313</v>
      </c>
    </row>
    <row r="16" spans="1:9" x14ac:dyDescent="0.35">
      <c r="D16" t="s">
        <v>314</v>
      </c>
    </row>
    <row r="17" spans="4:6" x14ac:dyDescent="0.35">
      <c r="D17" t="s">
        <v>315</v>
      </c>
    </row>
    <row r="18" spans="4:6" x14ac:dyDescent="0.35">
      <c r="D18" t="s">
        <v>316</v>
      </c>
    </row>
    <row r="19" spans="4:6" x14ac:dyDescent="0.35">
      <c r="D19" t="s">
        <v>317</v>
      </c>
    </row>
    <row r="20" spans="4:6" x14ac:dyDescent="0.35">
      <c r="D20" t="s">
        <v>318</v>
      </c>
    </row>
    <row r="21" spans="4:6" x14ac:dyDescent="0.35">
      <c r="D21" t="s">
        <v>322</v>
      </c>
    </row>
    <row r="22" spans="4:6" x14ac:dyDescent="0.35">
      <c r="D22" t="s">
        <v>323</v>
      </c>
    </row>
    <row r="23" spans="4:6" x14ac:dyDescent="0.35">
      <c r="D23" t="s">
        <v>324</v>
      </c>
      <c r="F23" cm="1">
        <f t="array" ref="F23:F35">salary</f>
        <v>10000</v>
      </c>
    </row>
    <row r="24" spans="4:6" x14ac:dyDescent="0.35">
      <c r="F24">
        <v>12000</v>
      </c>
    </row>
    <row r="25" spans="4:6" x14ac:dyDescent="0.35">
      <c r="F25">
        <v>11250</v>
      </c>
    </row>
    <row r="26" spans="4:6" x14ac:dyDescent="0.35">
      <c r="F26">
        <v>12000</v>
      </c>
    </row>
    <row r="27" spans="4:6" x14ac:dyDescent="0.35">
      <c r="F27">
        <v>16250</v>
      </c>
    </row>
    <row r="28" spans="4:6" x14ac:dyDescent="0.35">
      <c r="F28">
        <v>6400</v>
      </c>
    </row>
    <row r="29" spans="4:6" x14ac:dyDescent="0.35">
      <c r="F29">
        <v>4500</v>
      </c>
    </row>
    <row r="30" spans="4:6" x14ac:dyDescent="0.35">
      <c r="F30">
        <v>6275</v>
      </c>
    </row>
    <row r="31" spans="4:6" x14ac:dyDescent="0.35">
      <c r="F31">
        <v>6250</v>
      </c>
    </row>
    <row r="32" spans="4:6" x14ac:dyDescent="0.35">
      <c r="F32">
        <v>8750</v>
      </c>
    </row>
    <row r="33" spans="6:6" x14ac:dyDescent="0.35">
      <c r="F33">
        <v>11250</v>
      </c>
    </row>
    <row r="34" spans="6:6" x14ac:dyDescent="0.35">
      <c r="F34">
        <v>10000</v>
      </c>
    </row>
    <row r="35" spans="6:6" x14ac:dyDescent="0.35">
      <c r="F35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G11"/>
  <sheetViews>
    <sheetView zoomScale="135" zoomScaleNormal="190" workbookViewId="0">
      <selection activeCell="F12" sqref="F12"/>
    </sheetView>
  </sheetViews>
  <sheetFormatPr defaultRowHeight="14.5" x14ac:dyDescent="0.35"/>
  <cols>
    <col min="1" max="1" width="11.81640625" bestFit="1" customWidth="1"/>
    <col min="2" max="2" width="20.81640625" bestFit="1" customWidth="1"/>
    <col min="3" max="3" width="15.81640625" customWidth="1"/>
    <col min="4" max="4" width="15.81640625" bestFit="1" customWidth="1"/>
    <col min="5" max="5" width="11.26953125" bestFit="1" customWidth="1"/>
    <col min="6" max="6" width="9.36328125" bestFit="1" customWidth="1"/>
    <col min="7" max="8" width="10.453125" bestFit="1" customWidth="1"/>
  </cols>
  <sheetData>
    <row r="1" spans="1:7" x14ac:dyDescent="0.35">
      <c r="D1" t="s">
        <v>178</v>
      </c>
      <c r="E1" t="s">
        <v>180</v>
      </c>
      <c r="F1" t="s">
        <v>181</v>
      </c>
      <c r="G1" t="s">
        <v>182</v>
      </c>
    </row>
    <row r="2" spans="1:7" x14ac:dyDescent="0.35">
      <c r="A2" t="s">
        <v>179</v>
      </c>
      <c r="B2" t="s">
        <v>173</v>
      </c>
      <c r="C2" s="5">
        <v>46154</v>
      </c>
      <c r="D2" s="7">
        <v>0.61117256944271503</v>
      </c>
      <c r="E2">
        <f>HOUR(D2)</f>
        <v>14</v>
      </c>
      <c r="F2">
        <f>MINUTE(D2)</f>
        <v>40</v>
      </c>
      <c r="G2">
        <f>SECOND(D2)</f>
        <v>5</v>
      </c>
    </row>
    <row r="3" spans="1:7" x14ac:dyDescent="0.35">
      <c r="A3" t="s">
        <v>178</v>
      </c>
      <c r="B3" t="s">
        <v>174</v>
      </c>
      <c r="C3" s="12">
        <v>0.4909722222222222</v>
      </c>
    </row>
    <row r="4" spans="1:7" x14ac:dyDescent="0.35">
      <c r="A4" t="s">
        <v>175</v>
      </c>
      <c r="B4" t="s">
        <v>319</v>
      </c>
      <c r="C4" s="5">
        <f ca="1">TODAY()</f>
        <v>46157</v>
      </c>
      <c r="D4" s="5"/>
    </row>
    <row r="5" spans="1:7" x14ac:dyDescent="0.35">
      <c r="A5" t="s">
        <v>176</v>
      </c>
      <c r="B5" t="s">
        <v>320</v>
      </c>
      <c r="C5" s="6">
        <f ca="1">NOW()</f>
        <v>46157.949963310188</v>
      </c>
      <c r="D5" s="6"/>
    </row>
    <row r="6" spans="1:7" x14ac:dyDescent="0.35">
      <c r="A6" t="s">
        <v>177</v>
      </c>
      <c r="B6" t="s">
        <v>321</v>
      </c>
      <c r="C6" s="7">
        <f ca="1">NOW()-TODAY()</f>
        <v>0.94996331018774072</v>
      </c>
      <c r="D6" t="s">
        <v>180</v>
      </c>
      <c r="E6" t="s">
        <v>181</v>
      </c>
      <c r="F6" t="s">
        <v>182</v>
      </c>
      <c r="G6" t="s">
        <v>178</v>
      </c>
    </row>
    <row r="7" spans="1:7" x14ac:dyDescent="0.35">
      <c r="D7">
        <v>14</v>
      </c>
      <c r="E7">
        <v>40</v>
      </c>
      <c r="F7">
        <v>5</v>
      </c>
      <c r="G7" s="8"/>
    </row>
    <row r="8" spans="1:7" x14ac:dyDescent="0.35">
      <c r="B8" s="5">
        <v>1</v>
      </c>
    </row>
    <row r="9" spans="1:7" x14ac:dyDescent="0.35">
      <c r="B9">
        <v>1</v>
      </c>
    </row>
    <row r="10" spans="1:7" x14ac:dyDescent="0.35">
      <c r="D10" t="s">
        <v>179</v>
      </c>
      <c r="E10" t="s">
        <v>193</v>
      </c>
      <c r="F10" t="s">
        <v>194</v>
      </c>
    </row>
    <row r="11" spans="1:7" x14ac:dyDescent="0.35">
      <c r="D11" s="5">
        <f ca="1">TODAY()</f>
        <v>46157</v>
      </c>
      <c r="E11">
        <f ca="1">WEEKDAY(D11)</f>
        <v>6</v>
      </c>
      <c r="F11">
        <f ca="1">WEEKNUM(D11)</f>
        <v>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O20"/>
  <sheetViews>
    <sheetView topLeftCell="H1" zoomScaleNormal="100" workbookViewId="0">
      <selection activeCell="N12" sqref="N12:N20"/>
    </sheetView>
  </sheetViews>
  <sheetFormatPr defaultRowHeight="14.5" x14ac:dyDescent="0.35"/>
  <cols>
    <col min="1" max="1" width="12.81640625" customWidth="1"/>
    <col min="2" max="2" width="22.6328125" bestFit="1" customWidth="1"/>
    <col min="4" max="4" width="21.54296875" bestFit="1" customWidth="1"/>
    <col min="5" max="5" width="17.81640625" bestFit="1" customWidth="1"/>
    <col min="6" max="6" width="28.453125" bestFit="1" customWidth="1"/>
    <col min="7" max="7" width="27.6328125" bestFit="1" customWidth="1"/>
    <col min="8" max="8" width="27.08984375" bestFit="1" customWidth="1"/>
    <col min="10" max="10" width="24.1796875" bestFit="1" customWidth="1"/>
  </cols>
  <sheetData>
    <row r="1" spans="1:15" x14ac:dyDescent="0.35">
      <c r="A1" t="s">
        <v>237</v>
      </c>
      <c r="B1" t="s">
        <v>243</v>
      </c>
      <c r="C1" t="s">
        <v>238</v>
      </c>
      <c r="D1" t="s">
        <v>244</v>
      </c>
      <c r="E1" t="s">
        <v>239</v>
      </c>
      <c r="F1" t="s">
        <v>240</v>
      </c>
      <c r="G1" t="s">
        <v>241</v>
      </c>
      <c r="H1" t="s">
        <v>193</v>
      </c>
      <c r="J1" t="s">
        <v>242</v>
      </c>
    </row>
    <row r="2" spans="1:15" x14ac:dyDescent="0.35">
      <c r="A2">
        <v>2</v>
      </c>
      <c r="B2">
        <v>5</v>
      </c>
      <c r="C2">
        <v>3</v>
      </c>
      <c r="D2">
        <v>3</v>
      </c>
      <c r="E2" s="5">
        <v>46157</v>
      </c>
      <c r="F2" s="5">
        <v>46157</v>
      </c>
      <c r="G2" s="5">
        <f ca="1">TODAY()</f>
        <v>46157</v>
      </c>
      <c r="H2" s="5">
        <f ca="1">TODAY()</f>
        <v>46157</v>
      </c>
      <c r="J2" t="s">
        <v>337</v>
      </c>
      <c r="L2" t="s">
        <v>344</v>
      </c>
    </row>
    <row r="3" spans="1:15" x14ac:dyDescent="0.35">
      <c r="A3">
        <v>4</v>
      </c>
      <c r="B3">
        <v>10</v>
      </c>
      <c r="C3">
        <f>C2*4</f>
        <v>12</v>
      </c>
      <c r="D3">
        <v>12</v>
      </c>
      <c r="E3" s="5">
        <v>46159</v>
      </c>
      <c r="F3" s="5">
        <v>46188</v>
      </c>
      <c r="G3" s="5">
        <v>64420</v>
      </c>
      <c r="H3" s="5">
        <v>46160</v>
      </c>
      <c r="J3" t="s">
        <v>338</v>
      </c>
      <c r="L3" t="s">
        <v>345</v>
      </c>
      <c r="N3" t="s">
        <v>356</v>
      </c>
    </row>
    <row r="4" spans="1:15" x14ac:dyDescent="0.35">
      <c r="A4">
        <v>6</v>
      </c>
      <c r="B4">
        <v>15</v>
      </c>
      <c r="C4">
        <f t="shared" ref="C4:C11" si="0">C3*4</f>
        <v>48</v>
      </c>
      <c r="D4">
        <v>48</v>
      </c>
      <c r="E4" s="5">
        <v>46161</v>
      </c>
      <c r="F4" s="5">
        <v>46218</v>
      </c>
      <c r="G4" s="5">
        <v>82681</v>
      </c>
      <c r="H4" s="5">
        <v>46161</v>
      </c>
      <c r="J4" t="s">
        <v>339</v>
      </c>
      <c r="L4" t="s">
        <v>346</v>
      </c>
      <c r="N4" t="s">
        <v>357</v>
      </c>
      <c r="O4" t="s">
        <v>356</v>
      </c>
    </row>
    <row r="5" spans="1:15" x14ac:dyDescent="0.35">
      <c r="A5">
        <v>8</v>
      </c>
      <c r="B5">
        <v>20</v>
      </c>
      <c r="C5">
        <f t="shared" si="0"/>
        <v>192</v>
      </c>
      <c r="D5">
        <v>192</v>
      </c>
      <c r="E5" s="5">
        <v>46163</v>
      </c>
      <c r="F5" s="5">
        <v>46249</v>
      </c>
      <c r="G5" s="5">
        <v>100944</v>
      </c>
      <c r="H5" s="5">
        <v>46162</v>
      </c>
      <c r="J5" t="s">
        <v>340</v>
      </c>
      <c r="L5" t="s">
        <v>347</v>
      </c>
      <c r="N5" t="s">
        <v>358</v>
      </c>
      <c r="O5" t="s">
        <v>357</v>
      </c>
    </row>
    <row r="6" spans="1:15" x14ac:dyDescent="0.35">
      <c r="A6">
        <v>10</v>
      </c>
      <c r="B6">
        <v>25</v>
      </c>
      <c r="C6">
        <f t="shared" si="0"/>
        <v>768</v>
      </c>
      <c r="D6">
        <v>768</v>
      </c>
      <c r="E6" s="5">
        <v>46165</v>
      </c>
      <c r="F6" s="5">
        <v>46280</v>
      </c>
      <c r="G6" s="5">
        <v>119205</v>
      </c>
      <c r="H6" s="5">
        <v>46163</v>
      </c>
      <c r="J6" t="s">
        <v>341</v>
      </c>
      <c r="L6" t="s">
        <v>348</v>
      </c>
      <c r="N6" t="s">
        <v>361</v>
      </c>
      <c r="O6" t="s">
        <v>358</v>
      </c>
    </row>
    <row r="7" spans="1:15" x14ac:dyDescent="0.35">
      <c r="A7">
        <v>12</v>
      </c>
      <c r="B7">
        <v>30</v>
      </c>
      <c r="C7">
        <f t="shared" si="0"/>
        <v>3072</v>
      </c>
      <c r="D7">
        <v>3072</v>
      </c>
      <c r="E7" s="5">
        <v>46167</v>
      </c>
      <c r="F7" s="5">
        <v>46310</v>
      </c>
      <c r="G7" s="5">
        <v>137468</v>
      </c>
      <c r="H7" s="5">
        <v>46164</v>
      </c>
      <c r="J7" t="s">
        <v>342</v>
      </c>
      <c r="L7" t="s">
        <v>349</v>
      </c>
      <c r="N7" t="s">
        <v>362</v>
      </c>
      <c r="O7" t="s">
        <v>361</v>
      </c>
    </row>
    <row r="8" spans="1:15" x14ac:dyDescent="0.35">
      <c r="A8">
        <v>14</v>
      </c>
      <c r="B8">
        <v>35</v>
      </c>
      <c r="C8">
        <f t="shared" si="0"/>
        <v>12288</v>
      </c>
      <c r="D8">
        <v>12288</v>
      </c>
      <c r="E8" s="5">
        <v>46169</v>
      </c>
      <c r="F8" s="5">
        <v>46341</v>
      </c>
      <c r="G8" s="5">
        <v>155729</v>
      </c>
      <c r="H8" s="5">
        <v>46167</v>
      </c>
      <c r="J8" t="s">
        <v>343</v>
      </c>
      <c r="L8" t="s">
        <v>350</v>
      </c>
      <c r="N8" t="s">
        <v>359</v>
      </c>
      <c r="O8" t="s">
        <v>362</v>
      </c>
    </row>
    <row r="9" spans="1:15" x14ac:dyDescent="0.35">
      <c r="A9">
        <v>16</v>
      </c>
      <c r="B9">
        <v>40</v>
      </c>
      <c r="C9">
        <f t="shared" si="0"/>
        <v>49152</v>
      </c>
      <c r="D9">
        <v>49152</v>
      </c>
      <c r="E9" s="5">
        <v>46171</v>
      </c>
      <c r="F9" s="5">
        <v>46371</v>
      </c>
      <c r="G9" s="5">
        <v>173992</v>
      </c>
      <c r="H9" s="5">
        <v>46168</v>
      </c>
      <c r="J9" t="s">
        <v>337</v>
      </c>
      <c r="L9" t="s">
        <v>351</v>
      </c>
      <c r="N9" t="s">
        <v>360</v>
      </c>
      <c r="O9" t="s">
        <v>359</v>
      </c>
    </row>
    <row r="10" spans="1:15" x14ac:dyDescent="0.35">
      <c r="A10">
        <v>18</v>
      </c>
      <c r="C10">
        <f t="shared" si="0"/>
        <v>196608</v>
      </c>
      <c r="D10">
        <v>196608</v>
      </c>
      <c r="E10" s="5">
        <v>46173</v>
      </c>
      <c r="F10" s="5">
        <v>46402</v>
      </c>
      <c r="G10" s="5">
        <v>192254</v>
      </c>
      <c r="H10" s="5">
        <v>46169</v>
      </c>
      <c r="J10" t="s">
        <v>338</v>
      </c>
      <c r="L10" t="s">
        <v>352</v>
      </c>
    </row>
    <row r="11" spans="1:15" x14ac:dyDescent="0.35">
      <c r="A11">
        <v>20</v>
      </c>
      <c r="C11">
        <f t="shared" si="0"/>
        <v>786432</v>
      </c>
      <c r="D11">
        <v>786432</v>
      </c>
      <c r="E11" s="5">
        <v>46175</v>
      </c>
      <c r="F11" s="5">
        <v>46433</v>
      </c>
      <c r="G11" s="5">
        <v>210517</v>
      </c>
      <c r="H11" s="5">
        <v>46170</v>
      </c>
      <c r="J11" t="s">
        <v>339</v>
      </c>
      <c r="L11" t="s">
        <v>353</v>
      </c>
    </row>
    <row r="12" spans="1:15" x14ac:dyDescent="0.35">
      <c r="L12" t="s">
        <v>354</v>
      </c>
      <c r="N12" t="s">
        <v>365</v>
      </c>
    </row>
    <row r="13" spans="1:15" x14ac:dyDescent="0.35">
      <c r="B13" t="s">
        <v>325</v>
      </c>
      <c r="L13" t="s">
        <v>355</v>
      </c>
      <c r="N13" t="s">
        <v>366</v>
      </c>
    </row>
    <row r="14" spans="1:15" x14ac:dyDescent="0.35">
      <c r="B14" t="s">
        <v>326</v>
      </c>
      <c r="N14" t="s">
        <v>367</v>
      </c>
    </row>
    <row r="15" spans="1:15" x14ac:dyDescent="0.35">
      <c r="B15" t="s">
        <v>327</v>
      </c>
      <c r="D15" t="s">
        <v>329</v>
      </c>
      <c r="E15" t="s">
        <v>332</v>
      </c>
      <c r="F15" t="s">
        <v>332</v>
      </c>
      <c r="G15" t="s">
        <v>332</v>
      </c>
      <c r="H15" t="s">
        <v>332</v>
      </c>
      <c r="J15" t="s">
        <v>363</v>
      </c>
      <c r="N15" t="s">
        <v>368</v>
      </c>
    </row>
    <row r="16" spans="1:15" x14ac:dyDescent="0.35">
      <c r="B16" t="s">
        <v>331</v>
      </c>
      <c r="D16" t="s">
        <v>330</v>
      </c>
      <c r="E16" t="s">
        <v>330</v>
      </c>
      <c r="F16" t="s">
        <v>333</v>
      </c>
      <c r="G16" t="s">
        <v>334</v>
      </c>
      <c r="H16" t="s">
        <v>336</v>
      </c>
      <c r="J16" t="s">
        <v>364</v>
      </c>
      <c r="N16" t="s">
        <v>435</v>
      </c>
    </row>
    <row r="17" spans="2:14" x14ac:dyDescent="0.35">
      <c r="B17" t="s">
        <v>328</v>
      </c>
      <c r="F17" t="s">
        <v>335</v>
      </c>
      <c r="G17" t="s">
        <v>335</v>
      </c>
      <c r="H17" t="s">
        <v>335</v>
      </c>
      <c r="N17" t="s">
        <v>436</v>
      </c>
    </row>
    <row r="18" spans="2:14" x14ac:dyDescent="0.35">
      <c r="B18" t="s">
        <v>322</v>
      </c>
      <c r="D18" t="s">
        <v>322</v>
      </c>
      <c r="F18" t="s">
        <v>322</v>
      </c>
      <c r="H18" t="s">
        <v>322</v>
      </c>
      <c r="N18" t="s">
        <v>437</v>
      </c>
    </row>
    <row r="19" spans="2:14" x14ac:dyDescent="0.35">
      <c r="N19" t="s">
        <v>412</v>
      </c>
    </row>
    <row r="20" spans="2:14" x14ac:dyDescent="0.35">
      <c r="N20" t="s">
        <v>438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95" zoomScaleNormal="170" workbookViewId="0">
      <selection activeCell="K8" sqref="K8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  <c r="B2" t="b" cm="1">
        <f t="array" aca="1" ref="B2:B14" ca="1">ISTEXT(A2:A14)</f>
        <v>0</v>
      </c>
      <c r="C2" t="b" cm="1">
        <f t="array" aca="1" ref="C2:C14" ca="1">ISNONTEXT(A2:A14)</f>
        <v>1</v>
      </c>
      <c r="D2" t="b" cm="1">
        <f t="array" aca="1" ref="D2:D14" ca="1">ISNUMBER(A2:A14)</f>
        <v>1</v>
      </c>
      <c r="E2" t="b">
        <f>ISEVEN(A2)</f>
        <v>1</v>
      </c>
      <c r="F2" t="b">
        <f>ISODD(A2)</f>
        <v>0</v>
      </c>
      <c r="G2" t="b">
        <f>_xlfn.ISFORMULA(A2)</f>
        <v>0</v>
      </c>
      <c r="H2" t="b">
        <f>ISLOGICAL(A2)</f>
        <v>0</v>
      </c>
    </row>
    <row r="3" spans="1:8" x14ac:dyDescent="0.35">
      <c r="A3">
        <v>54</v>
      </c>
      <c r="B3" t="b">
        <f ca="1"/>
        <v>0</v>
      </c>
      <c r="C3" t="b">
        <f ca="1"/>
        <v>1</v>
      </c>
      <c r="D3" t="b">
        <f ca="1"/>
        <v>1</v>
      </c>
      <c r="E3" t="b">
        <f t="shared" ref="E3:E14" si="0">ISEVEN(A3)</f>
        <v>1</v>
      </c>
      <c r="F3" t="b">
        <f t="shared" ref="F3:F14" si="1">ISODD(A3)</f>
        <v>0</v>
      </c>
      <c r="G3" t="b">
        <f t="shared" ref="G3:G14" si="2">_xlfn.ISFORMULA(A3)</f>
        <v>0</v>
      </c>
      <c r="H3" t="b">
        <f t="shared" ref="H3:H14" si="3">ISLOGICAL(A3)</f>
        <v>0</v>
      </c>
    </row>
    <row r="4" spans="1:8" x14ac:dyDescent="0.35">
      <c r="A4">
        <v>33</v>
      </c>
      <c r="B4" t="b">
        <f ca="1"/>
        <v>0</v>
      </c>
      <c r="C4" t="b">
        <f ca="1"/>
        <v>1</v>
      </c>
      <c r="D4" t="b">
        <f ca="1"/>
        <v>1</v>
      </c>
      <c r="E4" t="b">
        <f t="shared" si="0"/>
        <v>0</v>
      </c>
      <c r="F4" t="b">
        <f t="shared" si="1"/>
        <v>1</v>
      </c>
      <c r="G4" t="b">
        <f t="shared" si="2"/>
        <v>0</v>
      </c>
      <c r="H4" t="b">
        <f t="shared" si="3"/>
        <v>0</v>
      </c>
    </row>
    <row r="5" spans="1:8" x14ac:dyDescent="0.35">
      <c r="A5">
        <v>55</v>
      </c>
      <c r="B5" t="b">
        <f ca="1"/>
        <v>0</v>
      </c>
      <c r="C5" t="b">
        <f ca="1"/>
        <v>1</v>
      </c>
      <c r="D5" t="b">
        <f ca="1"/>
        <v>1</v>
      </c>
      <c r="E5" t="b">
        <f t="shared" si="0"/>
        <v>0</v>
      </c>
      <c r="F5" t="b">
        <f t="shared" si="1"/>
        <v>1</v>
      </c>
      <c r="G5" t="b">
        <f t="shared" si="2"/>
        <v>0</v>
      </c>
      <c r="H5" t="b">
        <f t="shared" si="3"/>
        <v>0</v>
      </c>
    </row>
    <row r="6" spans="1:8" x14ac:dyDescent="0.35">
      <c r="A6" s="5">
        <f ca="1">TODAY()</f>
        <v>46157</v>
      </c>
      <c r="B6" t="b">
        <f ca="1"/>
        <v>0</v>
      </c>
      <c r="C6" t="b">
        <f ca="1"/>
        <v>1</v>
      </c>
      <c r="D6" t="b">
        <f ca="1"/>
        <v>1</v>
      </c>
      <c r="E6" t="b">
        <f t="shared" ca="1" si="0"/>
        <v>0</v>
      </c>
      <c r="F6" t="b">
        <f t="shared" ca="1" si="1"/>
        <v>1</v>
      </c>
      <c r="G6" t="b">
        <f t="shared" si="2"/>
        <v>1</v>
      </c>
      <c r="H6" t="b">
        <f t="shared" ca="1" si="3"/>
        <v>0</v>
      </c>
    </row>
    <row r="7" spans="1:8" x14ac:dyDescent="0.35">
      <c r="A7" t="s">
        <v>190</v>
      </c>
      <c r="B7" t="b">
        <f ca="1"/>
        <v>1</v>
      </c>
      <c r="C7" t="b">
        <f ca="1"/>
        <v>0</v>
      </c>
      <c r="D7" t="b">
        <f ca="1"/>
        <v>0</v>
      </c>
      <c r="E7" t="e">
        <f t="shared" si="0"/>
        <v>#VALUE!</v>
      </c>
      <c r="F7" t="e">
        <f t="shared" si="1"/>
        <v>#VALUE!</v>
      </c>
      <c r="G7" t="b">
        <f t="shared" si="2"/>
        <v>0</v>
      </c>
      <c r="H7" t="b">
        <f t="shared" si="3"/>
        <v>0</v>
      </c>
    </row>
    <row r="8" spans="1:8" x14ac:dyDescent="0.35">
      <c r="A8">
        <v>23</v>
      </c>
      <c r="B8" t="b">
        <f ca="1"/>
        <v>0</v>
      </c>
      <c r="C8" t="b">
        <f ca="1"/>
        <v>1</v>
      </c>
      <c r="D8" t="b">
        <f ca="1"/>
        <v>1</v>
      </c>
      <c r="E8" t="b">
        <f t="shared" si="0"/>
        <v>0</v>
      </c>
      <c r="F8" t="b">
        <f t="shared" si="1"/>
        <v>1</v>
      </c>
      <c r="G8" t="b">
        <f t="shared" si="2"/>
        <v>0</v>
      </c>
      <c r="H8" t="b">
        <f t="shared" si="3"/>
        <v>0</v>
      </c>
    </row>
    <row r="9" spans="1:8" x14ac:dyDescent="0.35">
      <c r="A9" t="s">
        <v>191</v>
      </c>
      <c r="B9" t="b">
        <f ca="1"/>
        <v>1</v>
      </c>
      <c r="C9" t="b">
        <f ca="1"/>
        <v>0</v>
      </c>
      <c r="D9" t="b">
        <f ca="1"/>
        <v>0</v>
      </c>
      <c r="E9" t="e">
        <f t="shared" si="0"/>
        <v>#VALUE!</v>
      </c>
      <c r="F9" t="e">
        <f t="shared" si="1"/>
        <v>#VALUE!</v>
      </c>
      <c r="G9" t="b">
        <f t="shared" si="2"/>
        <v>0</v>
      </c>
      <c r="H9" t="b">
        <f t="shared" si="3"/>
        <v>0</v>
      </c>
    </row>
    <row r="10" spans="1:8" x14ac:dyDescent="0.35">
      <c r="A10" t="b">
        <v>1</v>
      </c>
      <c r="B10" t="b">
        <f ca="1"/>
        <v>0</v>
      </c>
      <c r="C10" t="b">
        <f ca="1"/>
        <v>1</v>
      </c>
      <c r="D10" t="b">
        <f ca="1"/>
        <v>0</v>
      </c>
      <c r="E10" t="e">
        <f t="shared" si="0"/>
        <v>#VALUE!</v>
      </c>
      <c r="F10" t="e">
        <f t="shared" si="1"/>
        <v>#VALUE!</v>
      </c>
      <c r="G10" t="b">
        <f t="shared" si="2"/>
        <v>0</v>
      </c>
      <c r="H10" t="b">
        <f t="shared" si="3"/>
        <v>1</v>
      </c>
    </row>
    <row r="11" spans="1:8" x14ac:dyDescent="0.35">
      <c r="A11">
        <v>89</v>
      </c>
      <c r="B11" t="b">
        <f ca="1"/>
        <v>0</v>
      </c>
      <c r="C11" t="b">
        <f ca="1"/>
        <v>1</v>
      </c>
      <c r="D11" t="b">
        <f ca="1"/>
        <v>1</v>
      </c>
      <c r="E11" t="b">
        <f t="shared" si="0"/>
        <v>0</v>
      </c>
      <c r="F11" t="b">
        <f t="shared" si="1"/>
        <v>1</v>
      </c>
      <c r="G11" t="b">
        <f t="shared" si="2"/>
        <v>0</v>
      </c>
      <c r="H11" t="b">
        <f t="shared" si="3"/>
        <v>0</v>
      </c>
    </row>
    <row r="12" spans="1:8" x14ac:dyDescent="0.35">
      <c r="A12">
        <v>23</v>
      </c>
      <c r="B12" t="b">
        <f ca="1"/>
        <v>0</v>
      </c>
      <c r="C12" t="b">
        <f ca="1"/>
        <v>1</v>
      </c>
      <c r="D12" t="b">
        <f ca="1"/>
        <v>1</v>
      </c>
      <c r="E12" t="b">
        <f t="shared" si="0"/>
        <v>0</v>
      </c>
      <c r="F12" t="b">
        <f t="shared" si="1"/>
        <v>1</v>
      </c>
      <c r="G12" t="b">
        <f t="shared" si="2"/>
        <v>0</v>
      </c>
      <c r="H12" t="b">
        <f t="shared" si="3"/>
        <v>0</v>
      </c>
    </row>
    <row r="13" spans="1:8" x14ac:dyDescent="0.35">
      <c r="A13" t="b">
        <v>0</v>
      </c>
      <c r="B13" t="b">
        <f ca="1"/>
        <v>0</v>
      </c>
      <c r="C13" t="b">
        <f ca="1"/>
        <v>1</v>
      </c>
      <c r="D13" t="b">
        <f ca="1"/>
        <v>0</v>
      </c>
      <c r="E13" t="e">
        <f t="shared" si="0"/>
        <v>#VALUE!</v>
      </c>
      <c r="F13" t="e">
        <f t="shared" si="1"/>
        <v>#VALUE!</v>
      </c>
      <c r="G13" t="b">
        <f t="shared" si="2"/>
        <v>0</v>
      </c>
      <c r="H13" t="b">
        <f t="shared" si="3"/>
        <v>1</v>
      </c>
    </row>
    <row r="14" spans="1:8" x14ac:dyDescent="0.35">
      <c r="A14">
        <v>52</v>
      </c>
      <c r="B14" t="b">
        <f ca="1"/>
        <v>0</v>
      </c>
      <c r="C14" t="b">
        <f ca="1"/>
        <v>1</v>
      </c>
      <c r="D14" t="b">
        <f ca="1"/>
        <v>1</v>
      </c>
      <c r="E14" t="b">
        <f t="shared" si="0"/>
        <v>1</v>
      </c>
      <c r="F14" t="b">
        <f t="shared" si="1"/>
        <v>0</v>
      </c>
      <c r="G14" t="b">
        <f t="shared" si="2"/>
        <v>0</v>
      </c>
      <c r="H14" t="b">
        <f t="shared" si="3"/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H37"/>
  <sheetViews>
    <sheetView tabSelected="1" zoomScale="123" zoomScaleNormal="200" workbookViewId="0">
      <selection activeCell="H14" sqref="H14"/>
    </sheetView>
  </sheetViews>
  <sheetFormatPr defaultRowHeight="14.5" x14ac:dyDescent="0.35"/>
  <cols>
    <col min="1" max="1" width="37.6328125" bestFit="1" customWidth="1"/>
    <col min="5" max="5" width="13.36328125" bestFit="1" customWidth="1"/>
    <col min="6" max="6" width="16.08984375" bestFit="1" customWidth="1"/>
  </cols>
  <sheetData>
    <row r="1" spans="1:8" x14ac:dyDescent="0.35">
      <c r="A1" s="1" t="s">
        <v>183</v>
      </c>
      <c r="F1" s="1" t="s">
        <v>0</v>
      </c>
    </row>
    <row r="2" spans="1:8" x14ac:dyDescent="0.35">
      <c r="A2" t="s">
        <v>224</v>
      </c>
      <c r="B2" t="s">
        <v>369</v>
      </c>
      <c r="C2">
        <v>5</v>
      </c>
      <c r="D2" t="s">
        <v>370</v>
      </c>
      <c r="E2">
        <v>8562</v>
      </c>
      <c r="F2" t="s">
        <v>22</v>
      </c>
      <c r="G2" t="s">
        <v>23</v>
      </c>
    </row>
    <row r="3" spans="1:8" x14ac:dyDescent="0.35">
      <c r="A3" t="s">
        <v>231</v>
      </c>
      <c r="B3" t="s">
        <v>371</v>
      </c>
      <c r="C3">
        <v>5</v>
      </c>
      <c r="D3" t="s">
        <v>372</v>
      </c>
      <c r="E3">
        <v>9845</v>
      </c>
      <c r="F3" t="s">
        <v>24</v>
      </c>
      <c r="G3" t="s">
        <v>391</v>
      </c>
    </row>
    <row r="4" spans="1:8" x14ac:dyDescent="0.35">
      <c r="A4" t="s">
        <v>225</v>
      </c>
      <c r="B4" t="s">
        <v>373</v>
      </c>
      <c r="C4">
        <v>10</v>
      </c>
      <c r="D4" t="s">
        <v>374</v>
      </c>
      <c r="E4">
        <v>9878</v>
      </c>
      <c r="F4" t="s">
        <v>396</v>
      </c>
      <c r="G4" t="s">
        <v>397</v>
      </c>
    </row>
    <row r="5" spans="1:8" x14ac:dyDescent="0.35">
      <c r="A5" t="s">
        <v>226</v>
      </c>
      <c r="B5" t="s">
        <v>372</v>
      </c>
      <c r="C5">
        <v>10</v>
      </c>
      <c r="D5" t="s">
        <v>375</v>
      </c>
      <c r="E5">
        <v>2378</v>
      </c>
      <c r="F5" t="s">
        <v>28</v>
      </c>
      <c r="G5" t="s">
        <v>29</v>
      </c>
      <c r="H5" t="s">
        <v>392</v>
      </c>
    </row>
    <row r="6" spans="1:8" x14ac:dyDescent="0.35">
      <c r="A6" t="s">
        <v>227</v>
      </c>
      <c r="B6" t="s">
        <v>376</v>
      </c>
      <c r="C6">
        <v>4</v>
      </c>
      <c r="D6" t="s">
        <v>377</v>
      </c>
      <c r="E6">
        <v>9567</v>
      </c>
      <c r="F6" s="9" t="s">
        <v>30</v>
      </c>
      <c r="G6" t="s">
        <v>393</v>
      </c>
    </row>
    <row r="7" spans="1:8" x14ac:dyDescent="0.35">
      <c r="A7" t="s">
        <v>228</v>
      </c>
      <c r="B7" t="s">
        <v>378</v>
      </c>
      <c r="C7">
        <v>7</v>
      </c>
      <c r="D7" t="s">
        <v>379</v>
      </c>
      <c r="E7">
        <v>8923</v>
      </c>
      <c r="F7" t="s">
        <v>32</v>
      </c>
      <c r="G7" t="s">
        <v>33</v>
      </c>
    </row>
    <row r="8" spans="1:8" x14ac:dyDescent="0.35">
      <c r="A8" t="s">
        <v>229</v>
      </c>
      <c r="B8" t="s">
        <v>380</v>
      </c>
      <c r="C8">
        <v>11</v>
      </c>
      <c r="D8" t="s">
        <v>381</v>
      </c>
      <c r="E8">
        <v>5679</v>
      </c>
      <c r="F8" t="s">
        <v>34</v>
      </c>
      <c r="G8" t="s">
        <v>35</v>
      </c>
    </row>
    <row r="9" spans="1:8" x14ac:dyDescent="0.35">
      <c r="A9" t="s">
        <v>230</v>
      </c>
      <c r="B9" t="s">
        <v>382</v>
      </c>
      <c r="C9">
        <v>9</v>
      </c>
      <c r="D9" t="s">
        <v>379</v>
      </c>
      <c r="E9">
        <v>7453</v>
      </c>
      <c r="F9" t="s">
        <v>36</v>
      </c>
      <c r="G9" t="s">
        <v>37</v>
      </c>
    </row>
    <row r="10" spans="1:8" x14ac:dyDescent="0.35">
      <c r="A10" t="s">
        <v>232</v>
      </c>
      <c r="B10" t="s">
        <v>383</v>
      </c>
      <c r="C10">
        <v>6</v>
      </c>
      <c r="D10" t="s">
        <v>384</v>
      </c>
      <c r="E10">
        <v>4598</v>
      </c>
      <c r="F10" t="s">
        <v>38</v>
      </c>
      <c r="G10" t="s">
        <v>39</v>
      </c>
    </row>
    <row r="11" spans="1:8" x14ac:dyDescent="0.35">
      <c r="A11" t="s">
        <v>233</v>
      </c>
      <c r="B11" t="s">
        <v>385</v>
      </c>
      <c r="C11">
        <v>3</v>
      </c>
      <c r="D11" t="s">
        <v>386</v>
      </c>
      <c r="E11">
        <v>8345</v>
      </c>
      <c r="F11" t="s">
        <v>38</v>
      </c>
      <c r="G11" t="s">
        <v>40</v>
      </c>
    </row>
    <row r="12" spans="1:8" x14ac:dyDescent="0.35">
      <c r="A12" t="s">
        <v>234</v>
      </c>
      <c r="B12" t="s">
        <v>387</v>
      </c>
      <c r="C12">
        <v>5</v>
      </c>
      <c r="D12" t="s">
        <v>372</v>
      </c>
      <c r="E12">
        <v>3456</v>
      </c>
      <c r="F12" t="s">
        <v>398</v>
      </c>
      <c r="G12" t="s">
        <v>399</v>
      </c>
    </row>
    <row r="15" spans="1:8" x14ac:dyDescent="0.35">
      <c r="A15" t="s">
        <v>388</v>
      </c>
    </row>
    <row r="16" spans="1:8" x14ac:dyDescent="0.35">
      <c r="A16" t="s">
        <v>389</v>
      </c>
    </row>
    <row r="17" spans="1:5" x14ac:dyDescent="0.35">
      <c r="A17" t="s">
        <v>390</v>
      </c>
    </row>
    <row r="18" spans="1:5" x14ac:dyDescent="0.35">
      <c r="A18" t="s">
        <v>394</v>
      </c>
    </row>
    <row r="19" spans="1:5" x14ac:dyDescent="0.35">
      <c r="A19" t="s">
        <v>395</v>
      </c>
    </row>
    <row r="20" spans="1:5" x14ac:dyDescent="0.35">
      <c r="A20" t="s">
        <v>411</v>
      </c>
    </row>
    <row r="21" spans="1:5" x14ac:dyDescent="0.35">
      <c r="A21" t="s">
        <v>413</v>
      </c>
    </row>
    <row r="22" spans="1:5" x14ac:dyDescent="0.35">
      <c r="A22" t="s">
        <v>412</v>
      </c>
    </row>
    <row r="23" spans="1:5" x14ac:dyDescent="0.35">
      <c r="A23" t="s">
        <v>412</v>
      </c>
    </row>
    <row r="24" spans="1:5" x14ac:dyDescent="0.35">
      <c r="A24" t="s">
        <v>439</v>
      </c>
    </row>
    <row r="25" spans="1:5" x14ac:dyDescent="0.35">
      <c r="A25" t="s">
        <v>440</v>
      </c>
    </row>
    <row r="27" spans="1:5" x14ac:dyDescent="0.35">
      <c r="A27" t="s">
        <v>400</v>
      </c>
      <c r="B27" t="s">
        <v>369</v>
      </c>
      <c r="C27">
        <v>5</v>
      </c>
      <c r="D27" t="s">
        <v>370</v>
      </c>
      <c r="E27">
        <v>8562</v>
      </c>
    </row>
    <row r="28" spans="1:5" x14ac:dyDescent="0.35">
      <c r="A28" t="s">
        <v>401</v>
      </c>
      <c r="B28" t="s">
        <v>371</v>
      </c>
      <c r="C28">
        <v>5</v>
      </c>
      <c r="D28" t="s">
        <v>372</v>
      </c>
      <c r="E28">
        <v>9845</v>
      </c>
    </row>
    <row r="29" spans="1:5" x14ac:dyDescent="0.35">
      <c r="A29" t="s">
        <v>402</v>
      </c>
      <c r="B29" t="s">
        <v>373</v>
      </c>
      <c r="C29">
        <v>10</v>
      </c>
      <c r="D29" t="s">
        <v>374</v>
      </c>
      <c r="E29">
        <v>9878</v>
      </c>
    </row>
    <row r="30" spans="1:5" x14ac:dyDescent="0.35">
      <c r="A30" t="s">
        <v>403</v>
      </c>
      <c r="B30" t="s">
        <v>372</v>
      </c>
      <c r="C30">
        <v>10</v>
      </c>
      <c r="D30" t="s">
        <v>375</v>
      </c>
      <c r="E30">
        <v>2378</v>
      </c>
    </row>
    <row r="31" spans="1:5" x14ac:dyDescent="0.35">
      <c r="A31" t="s">
        <v>404</v>
      </c>
      <c r="B31" t="s">
        <v>376</v>
      </c>
      <c r="C31">
        <v>4</v>
      </c>
      <c r="D31" t="s">
        <v>377</v>
      </c>
      <c r="E31">
        <v>9567</v>
      </c>
    </row>
    <row r="32" spans="1:5" x14ac:dyDescent="0.35">
      <c r="A32" t="s">
        <v>405</v>
      </c>
      <c r="B32" t="s">
        <v>378</v>
      </c>
      <c r="C32">
        <v>7</v>
      </c>
      <c r="D32" t="s">
        <v>379</v>
      </c>
      <c r="E32">
        <v>8923</v>
      </c>
    </row>
    <row r="33" spans="1:5" x14ac:dyDescent="0.35">
      <c r="A33" t="s">
        <v>406</v>
      </c>
      <c r="B33" t="s">
        <v>380</v>
      </c>
      <c r="C33">
        <v>11</v>
      </c>
      <c r="D33" t="s">
        <v>381</v>
      </c>
      <c r="E33">
        <v>5679</v>
      </c>
    </row>
    <row r="34" spans="1:5" x14ac:dyDescent="0.35">
      <c r="A34" t="s">
        <v>407</v>
      </c>
      <c r="B34" t="s">
        <v>382</v>
      </c>
      <c r="C34">
        <v>9</v>
      </c>
      <c r="D34" t="s">
        <v>379</v>
      </c>
      <c r="E34">
        <v>7453</v>
      </c>
    </row>
    <row r="35" spans="1:5" x14ac:dyDescent="0.35">
      <c r="A35" t="s">
        <v>408</v>
      </c>
      <c r="B35" t="s">
        <v>383</v>
      </c>
      <c r="C35">
        <v>6</v>
      </c>
      <c r="D35" t="s">
        <v>384</v>
      </c>
      <c r="E35">
        <v>4598</v>
      </c>
    </row>
    <row r="36" spans="1:5" x14ac:dyDescent="0.35">
      <c r="A36" t="s">
        <v>409</v>
      </c>
      <c r="B36" t="s">
        <v>385</v>
      </c>
      <c r="C36">
        <v>3</v>
      </c>
      <c r="D36" t="s">
        <v>386</v>
      </c>
      <c r="E36">
        <v>8345</v>
      </c>
    </row>
    <row r="37" spans="1:5" x14ac:dyDescent="0.35">
      <c r="A37" t="s">
        <v>410</v>
      </c>
      <c r="B37" t="s">
        <v>387</v>
      </c>
      <c r="C37">
        <v>5</v>
      </c>
      <c r="D37" t="s">
        <v>372</v>
      </c>
      <c r="E37">
        <v>3456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E6" sqref="E6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235</v>
      </c>
      <c r="D1" s="1" t="s">
        <v>236</v>
      </c>
      <c r="E1" s="1"/>
      <c r="F1" s="1"/>
    </row>
    <row r="2" spans="1:6" x14ac:dyDescent="0.35">
      <c r="A2" t="s">
        <v>22</v>
      </c>
      <c r="B2" t="s">
        <v>23</v>
      </c>
      <c r="C2" t="s">
        <v>414</v>
      </c>
      <c r="D2" s="11" t="s">
        <v>425</v>
      </c>
      <c r="E2" s="11" t="s">
        <v>424</v>
      </c>
      <c r="F2" s="11"/>
    </row>
    <row r="3" spans="1:6" x14ac:dyDescent="0.35">
      <c r="A3" t="s">
        <v>24</v>
      </c>
      <c r="B3" t="s">
        <v>25</v>
      </c>
      <c r="C3" t="s">
        <v>415</v>
      </c>
      <c r="D3" s="11" t="s">
        <v>426</v>
      </c>
      <c r="E3" s="11"/>
      <c r="F3" s="11"/>
    </row>
    <row r="4" spans="1:6" x14ac:dyDescent="0.35">
      <c r="A4" t="s">
        <v>26</v>
      </c>
      <c r="B4" t="s">
        <v>27</v>
      </c>
      <c r="C4" t="s">
        <v>416</v>
      </c>
      <c r="D4" s="11" t="s">
        <v>427</v>
      </c>
      <c r="E4" s="11"/>
      <c r="F4" s="11"/>
    </row>
    <row r="5" spans="1:6" x14ac:dyDescent="0.35">
      <c r="A5" t="s">
        <v>28</v>
      </c>
      <c r="B5" t="s">
        <v>29</v>
      </c>
      <c r="C5" t="s">
        <v>417</v>
      </c>
      <c r="D5" s="11" t="s">
        <v>428</v>
      </c>
      <c r="E5" s="11"/>
      <c r="F5" s="11"/>
    </row>
    <row r="6" spans="1:6" x14ac:dyDescent="0.35">
      <c r="A6" t="s">
        <v>30</v>
      </c>
      <c r="B6" t="s">
        <v>31</v>
      </c>
      <c r="C6" t="s">
        <v>418</v>
      </c>
      <c r="D6" s="11" t="s">
        <v>429</v>
      </c>
      <c r="E6" s="11"/>
      <c r="F6" s="11"/>
    </row>
    <row r="7" spans="1:6" x14ac:dyDescent="0.35">
      <c r="A7" t="s">
        <v>32</v>
      </c>
      <c r="B7" t="s">
        <v>33</v>
      </c>
      <c r="C7" t="s">
        <v>419</v>
      </c>
      <c r="D7" s="11" t="s">
        <v>430</v>
      </c>
      <c r="E7" s="11"/>
      <c r="F7" s="11"/>
    </row>
    <row r="8" spans="1:6" x14ac:dyDescent="0.35">
      <c r="A8" t="s">
        <v>34</v>
      </c>
      <c r="B8" t="s">
        <v>35</v>
      </c>
      <c r="C8" t="s">
        <v>420</v>
      </c>
      <c r="D8" s="11" t="s">
        <v>431</v>
      </c>
      <c r="E8" s="11"/>
      <c r="F8" s="11"/>
    </row>
    <row r="9" spans="1:6" x14ac:dyDescent="0.35">
      <c r="A9" t="s">
        <v>36</v>
      </c>
      <c r="B9" t="s">
        <v>37</v>
      </c>
      <c r="C9" t="s">
        <v>421</v>
      </c>
      <c r="D9" s="11" t="s">
        <v>432</v>
      </c>
      <c r="E9" s="11"/>
      <c r="F9" s="11"/>
    </row>
    <row r="10" spans="1:6" x14ac:dyDescent="0.35">
      <c r="A10" t="s">
        <v>38</v>
      </c>
      <c r="B10" t="s">
        <v>39</v>
      </c>
      <c r="C10" t="s">
        <v>422</v>
      </c>
      <c r="D10" s="11" t="s">
        <v>433</v>
      </c>
      <c r="E10" s="11"/>
      <c r="F10" s="11"/>
    </row>
    <row r="11" spans="1:6" x14ac:dyDescent="0.35">
      <c r="A11" t="s">
        <v>38</v>
      </c>
      <c r="B11" t="s">
        <v>40</v>
      </c>
      <c r="C11" t="s">
        <v>423</v>
      </c>
      <c r="D11" s="11" t="s">
        <v>434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hyperlinks>
    <hyperlink ref="D2" r:id="rId1" xr:uid="{9229532A-9949-415A-9257-C89E22271426}"/>
    <hyperlink ref="D3" r:id="rId2" xr:uid="{54DA68C0-D37D-4685-9D5D-33F83B9E114E}"/>
    <hyperlink ref="D4" r:id="rId3" xr:uid="{C4FD7D30-6542-4D10-866B-02B9EDAA0E2E}"/>
    <hyperlink ref="D5" r:id="rId4" xr:uid="{C35A2C22-0595-4B86-8150-60313D80B370}"/>
    <hyperlink ref="D6" r:id="rId5" xr:uid="{24D30A5F-1B0C-4083-B47D-F3BB029F3F86}"/>
    <hyperlink ref="D7" r:id="rId6" xr:uid="{9341BB85-41CC-4AEC-B4C1-26799E2569F0}"/>
    <hyperlink ref="D8" r:id="rId7" xr:uid="{8661F97C-DE8E-4B1B-A981-48A2B6A2BC4F}"/>
    <hyperlink ref="D9" r:id="rId8" xr:uid="{FA3FC234-6A08-4197-8A1D-669FFF778540}"/>
    <hyperlink ref="D10" r:id="rId9" xr:uid="{D8066074-50C8-4620-A70B-6C36E808B0CB}"/>
    <hyperlink ref="D11" r:id="rId10" xr:uid="{3CCD4A96-CB28-4727-A42A-628CE125AC2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2026-05-15T17:21:20Z</dcterms:modified>
</cp:coreProperties>
</file>